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icha técnica vitola" sheetId="1" state="visible" r:id="rId3"/>
    <sheet name="Arquitectura vitolas" sheetId="2" state="visible" r:id="rId4"/>
    <sheet name="Plan QC por pliego" sheetId="3" state="visible" r:id="rId5"/>
    <sheet name="Registro de pliego" sheetId="4" state="visible" r:id="rId6"/>
    <sheet name="Ficha de cata" sheetId="5" state="visible" r:id="rId7"/>
    <sheet name="Roles técnico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<sst xmlns="http://schemas.openxmlformats.org/spreadsheetml/2006/main" count="247" uniqueCount="192">
  <si>
    <t xml:space="preserve">ARNALDO — Ficha técnica editable de vitola (a completar con el torcedor y la fábrica)</t>
  </si>
  <si>
    <t xml:space="preserve">No contiene recetas ni ligas inventadas. Campos 'Valor' en azul = a rellenar. Rangos marcados 'orientativo' deben validarse con la fábrica.</t>
  </si>
  <si>
    <t xml:space="preserve">Bloque</t>
  </si>
  <si>
    <t xml:space="preserve">Campo</t>
  </si>
  <si>
    <t xml:space="preserve">Valor / especificación</t>
  </si>
  <si>
    <t xml:space="preserve">Responsable del dato</t>
  </si>
  <si>
    <t xml:space="preserve">Verificado por</t>
  </si>
  <si>
    <t xml:space="preserve">Fecha</t>
  </si>
  <si>
    <t xml:space="preserve">Identificación</t>
  </si>
  <si>
    <t xml:space="preserve">Nombre de vitola comercial</t>
  </si>
  <si>
    <t xml:space="preserve">ARNALDO Nº 1 (inicial)</t>
  </si>
  <si>
    <t xml:space="preserve">Marca</t>
  </si>
  <si>
    <t xml:space="preserve">Vitola de galera (denominación de fábrica)</t>
  </si>
  <si>
    <t xml:space="preserve">Robusto (a confirmar por la fábrica)</t>
  </si>
  <si>
    <t xml:space="preserve">Fábrica</t>
  </si>
  <si>
    <t xml:space="preserve">Código interno</t>
  </si>
  <si>
    <t xml:space="preserve">FOL-OCT-01</t>
  </si>
  <si>
    <t xml:space="preserve">Dimensiones</t>
  </si>
  <si>
    <t xml:space="preserve">Longitud (mm) y tolerancia</t>
  </si>
  <si>
    <t xml:space="preserve">124 mm ±2 mm (orientativo para Robusto)</t>
  </si>
  <si>
    <t xml:space="preserve">Cepo / ring gauge (1/64") y tolerancia</t>
  </si>
  <si>
    <t xml:space="preserve">50 ±1 (orientativo)</t>
  </si>
  <si>
    <t xml:space="preserve">Peso objetivo por unidad (g) y tolerancia</t>
  </si>
  <si>
    <t xml:space="preserve">Construcción</t>
  </si>
  <si>
    <t xml:space="preserve">Tipo de construcción (totalmente a mano, tripa larga)</t>
  </si>
  <si>
    <t xml:space="preserve">Torcedor / fábrica</t>
  </si>
  <si>
    <t xml:space="preserve">Método de bonchado (p.ej. entubado, libro)</t>
  </si>
  <si>
    <t xml:space="preserve">Torcedor</t>
  </si>
  <si>
    <t xml:space="preserve">Perilla / cabeza (p.ej. triple capa)</t>
  </si>
  <si>
    <t xml:space="preserve">Hoja</t>
  </si>
  <si>
    <t xml:space="preserve">Capa: origen, finca/zona (si se permite declarar), corte, color</t>
  </si>
  <si>
    <t xml:space="preserve">Fábrica (dato)</t>
  </si>
  <si>
    <t xml:space="preserve">Capote: origen y tipo</t>
  </si>
  <si>
    <t xml:space="preserve">Tripa: proporción ligero / seco / volado (%)</t>
  </si>
  <si>
    <t xml:space="preserve">Mezclador / fábrica</t>
  </si>
  <si>
    <t xml:space="preserve">Añada / tiempo de añejamiento de la hoja (meses)</t>
  </si>
  <si>
    <t xml:space="preserve">Disponibilidad garantizada para N lotes (sí/no, cantidad)</t>
  </si>
  <si>
    <t xml:space="preserve">Fábrica — BLOQUEADO</t>
  </si>
  <si>
    <t xml:space="preserve">Calidad</t>
  </si>
  <si>
    <t xml:space="preserve">Resistencia al tiro (método e instrumento; rango aceptado)</t>
  </si>
  <si>
    <t xml:space="preserve">Definir con fábrica (medidor de tiro)</t>
  </si>
  <si>
    <t xml:space="preserve">Control de calidad</t>
  </si>
  <si>
    <t xml:space="preserve">Combustión: uniformidad, tiempo de fumada (min), ceniza (cm)</t>
  </si>
  <si>
    <t xml:space="preserve">Cata técnica</t>
  </si>
  <si>
    <t xml:space="preserve">Humedad del puro terminado (%)</t>
  </si>
  <si>
    <t xml:space="preserve">Definir con fábrica</t>
  </si>
  <si>
    <t xml:space="preserve">Defectos críticos (rotura de capa, tiro bloqueado, plaga)</t>
  </si>
  <si>
    <t xml:space="preserve">0 aceptados</t>
  </si>
  <si>
    <t xml:space="preserve">Defectos mayores / menores: AQL (ISO 2859-1, nivel II)</t>
  </si>
  <si>
    <t xml:space="preserve">Mayor 1,0 · Menor 2,5 (propuesta)</t>
  </si>
  <si>
    <t xml:space="preserve">Conservación</t>
  </si>
  <si>
    <t xml:space="preserve">Condiciones de almacén: temperatura / humedad relativa</t>
  </si>
  <si>
    <t xml:space="preserve">16–18 °C / 65–70 % HR (orientativo de industria)</t>
  </si>
  <si>
    <t xml:space="preserve">Logística</t>
  </si>
  <si>
    <t xml:space="preserve">Tratamiento antiplagas (Lasioderma) previo a expedición</t>
  </si>
  <si>
    <t xml:space="preserve">Congelación controlada: protocolo a acordar</t>
  </si>
  <si>
    <t xml:space="preserve">Reposo/estabilización tras torcido y antes de embalar (días)</t>
  </si>
  <si>
    <t xml:space="preserve">Embalaje</t>
  </si>
  <si>
    <t xml:space="preserve">Unidades por caja / tipo de caja / anilla / pie de anilla</t>
  </si>
  <si>
    <t xml:space="preserve">10 u · cedro · anilla ARNALDO (firma) + pie 'Pliego Nº'</t>
  </si>
  <si>
    <t xml:space="preserve">Colofón numerado incluido</t>
  </si>
  <si>
    <t xml:space="preserve">Sí</t>
  </si>
  <si>
    <t xml:space="preserve">Trazabilidad</t>
  </si>
  <si>
    <t xml:space="preserve">Nº de pliego (lote) y fecha de torcido</t>
  </si>
  <si>
    <t xml:space="preserve">Identificador del torcedor (si el contrato lo permite)</t>
  </si>
  <si>
    <t xml:space="preserve">Fábrica / abogado</t>
  </si>
  <si>
    <t xml:space="preserve">Regulatorio</t>
  </si>
  <si>
    <t xml:space="preserve">Ingredientes y aditivos (para EU-CEG)</t>
  </si>
  <si>
    <t xml:space="preserve">Lista completa obligatoria</t>
  </si>
  <si>
    <t xml:space="preserve">Fábrica → importador</t>
  </si>
  <si>
    <t xml:space="preserve">Arquitectura preliminar de producto</t>
  </si>
  <si>
    <t xml:space="preserve">Una vitola de lanzamiento; extensiones sólo tras validar consistencia y venta.</t>
  </si>
  <si>
    <t xml:space="preserve">Nombre ARNALDO</t>
  </si>
  <si>
    <t xml:space="preserve">Vitola de referencia</t>
  </si>
  <si>
    <t xml:space="preserve">Dimensiones mm × cepo</t>
  </si>
  <si>
    <t xml:space="preserve">Calendario</t>
  </si>
  <si>
    <t xml:space="preserve">Diferencias de fabricación</t>
  </si>
  <si>
    <t xml:space="preserve">Complejidad</t>
  </si>
  <si>
    <t xml:space="preserve">Nº 1</t>
  </si>
  <si>
    <t xml:space="preserve">Robusto</t>
  </si>
  <si>
    <t xml:space="preserve">≈124 × 50 (orientativo)</t>
  </si>
  <si>
    <t xml:space="preserve">Lanzamiento 2028</t>
  </si>
  <si>
    <t xml:space="preserve">Formato más versátil del segmento; tiempo de fumada medio; menor consumo de capa que Churchill</t>
  </si>
  <si>
    <t xml:space="preserve">Media</t>
  </si>
  <si>
    <t xml:space="preserve">Nº 2</t>
  </si>
  <si>
    <t xml:space="preserve">Toro / Gordito</t>
  </si>
  <si>
    <t xml:space="preserve">≈150–156 × 50–52 (a definir)</t>
  </si>
  <si>
    <t xml:space="preserve">Extensión 2029 (si C1–C8)</t>
  </si>
  <si>
    <t xml:space="preserve">Más capa por unidad; mayor riesgo de tiro irregular en cepos grandes</t>
  </si>
  <si>
    <t xml:space="preserve">Media-alta</t>
  </si>
  <si>
    <t xml:space="preserve">Nº 3</t>
  </si>
  <si>
    <t xml:space="preserve">Churchill (Julieta No. 2)</t>
  </si>
  <si>
    <t xml:space="preserve">≈178 × 47 (orientativo)</t>
  </si>
  <si>
    <t xml:space="preserve">Edición limitada 2030</t>
  </si>
  <si>
    <t xml:space="preserve">Exige capa larga sin defectos; rendimiento de capa menor; torcedores de categoría superior</t>
  </si>
  <si>
    <t xml:space="preserve">Alta</t>
  </si>
  <si>
    <t xml:space="preserve">Plan de control de calidad por pliego (lote)</t>
  </si>
  <si>
    <t xml:space="preserve">Muestreo según ISO 2859-1; criterios propuestos para negociar en el contrato.</t>
  </si>
  <si>
    <t xml:space="preserve">Punto</t>
  </si>
  <si>
    <t xml:space="preserve">Atributo</t>
  </si>
  <si>
    <t xml:space="preserve">Método</t>
  </si>
  <si>
    <t xml:space="preserve">Frecuencia</t>
  </si>
  <si>
    <t xml:space="preserve">Criterio de aceptación</t>
  </si>
  <si>
    <t xml:space="preserve">Clase de defecto</t>
  </si>
  <si>
    <t xml:space="preserve">Origen</t>
  </si>
  <si>
    <t xml:space="preserve">Dimensiones (longitud, cepo)</t>
  </si>
  <si>
    <t xml:space="preserve">Calibre y regla</t>
  </si>
  <si>
    <t xml:space="preserve">Muestra AQL nivel II</t>
  </si>
  <si>
    <t xml:space="preserve">Tolerancias de ficha</t>
  </si>
  <si>
    <t xml:space="preserve">Mayor</t>
  </si>
  <si>
    <t xml:space="preserve">Peso</t>
  </si>
  <si>
    <t xml:space="preserve">Balanza 0,1 g</t>
  </si>
  <si>
    <t xml:space="preserve">Muestra AQL</t>
  </si>
  <si>
    <t xml:space="preserve">± tolerancia de ficha</t>
  </si>
  <si>
    <t xml:space="preserve">Menor</t>
  </si>
  <si>
    <t xml:space="preserve">Tiro</t>
  </si>
  <si>
    <t xml:space="preserve">Medidor de tiro</t>
  </si>
  <si>
    <t xml:space="preserve">Rango de ficha</t>
  </si>
  <si>
    <t xml:space="preserve">Aspecto de capa (color, venas, roturas)</t>
  </si>
  <si>
    <t xml:space="preserve">Visual, luz normalizada</t>
  </si>
  <si>
    <t xml:space="preserve">100% en escogida</t>
  </si>
  <si>
    <t xml:space="preserve">Sin roturas; color homogéneo por caja</t>
  </si>
  <si>
    <t xml:space="preserve">Crítico/Mayor</t>
  </si>
  <si>
    <t xml:space="preserve">Plaga (Lasioderma)</t>
  </si>
  <si>
    <t xml:space="preserve">Inspección + certificado de tratamiento</t>
  </si>
  <si>
    <t xml:space="preserve">Cada pliego</t>
  </si>
  <si>
    <t xml:space="preserve">0 indicios</t>
  </si>
  <si>
    <t xml:space="preserve">Crítico</t>
  </si>
  <si>
    <t xml:space="preserve">Cata técnica ciega (3 catadores)</t>
  </si>
  <si>
    <t xml:space="preserve">Ficha de cata</t>
  </si>
  <si>
    <t xml:space="preserve">5 u por pliego</t>
  </si>
  <si>
    <t xml:space="preserve">≥ puntuación mínima acordada</t>
  </si>
  <si>
    <t xml:space="preserve">Destino</t>
  </si>
  <si>
    <t xml:space="preserve">Humedad / estado tras transporte</t>
  </si>
  <si>
    <t xml:space="preserve">Higrómetro / inspección</t>
  </si>
  <si>
    <t xml:space="preserve">Muestra</t>
  </si>
  <si>
    <t xml:space="preserve">Sin moho ni secado</t>
  </si>
  <si>
    <t xml:space="preserve">Etiquetado legal y marcas fiscales</t>
  </si>
  <si>
    <t xml:space="preserve">Checklist</t>
  </si>
  <si>
    <t xml:space="preserve">100% cajas</t>
  </si>
  <si>
    <t xml:space="preserve">Conforme RD 579/2017 y Orden HAC/66/2024</t>
  </si>
  <si>
    <t xml:space="preserve">Correspondencia colofón ↔ pliego ↔ factura</t>
  </si>
  <si>
    <t xml:space="preserve">Sin discrepancias</t>
  </si>
  <si>
    <t xml:space="preserve">Tasa de rechazo admisible por pliego (propuesta contractual: reposición a cargo del fabricante si supera el umbral)</t>
  </si>
  <si>
    <t xml:space="preserve">Registro de pliego (lote) — plantilla</t>
  </si>
  <si>
    <t xml:space="preserve">Una fila por pliego.</t>
  </si>
  <si>
    <t xml:space="preserve">Nº pliego</t>
  </si>
  <si>
    <t xml:space="preserve">Vitola</t>
  </si>
  <si>
    <t xml:space="preserve">Fecha torcido</t>
  </si>
  <si>
    <t xml:space="preserve">Unidades torcidas</t>
  </si>
  <si>
    <t xml:space="preserve">Unidades rechazadas</t>
  </si>
  <si>
    <t xml:space="preserve">% rechazo</t>
  </si>
  <si>
    <t xml:space="preserve">Unidades expedidas</t>
  </si>
  <si>
    <t xml:space="preserve">Cajas (nº inicial–final)</t>
  </si>
  <si>
    <t xml:space="preserve">Tratamiento plaga (fecha)</t>
  </si>
  <si>
    <t xml:space="preserve">Cata (puntos)</t>
  </si>
  <si>
    <t xml:space="preserve">Factura / DUA</t>
  </si>
  <si>
    <t xml:space="preserve">Observaciones</t>
  </si>
  <si>
    <t xml:space="preserve">Ficha de cata técnica (uso profesional interno)</t>
  </si>
  <si>
    <t xml:space="preserve">Escala 1–10 por atributo; sin finalidad promocional.</t>
  </si>
  <si>
    <t xml:space="preserve">Catador 1</t>
  </si>
  <si>
    <t xml:space="preserve">Catador 2</t>
  </si>
  <si>
    <t xml:space="preserve">Catador 3</t>
  </si>
  <si>
    <t xml:space="preserve">Apariencia en frío</t>
  </si>
  <si>
    <t xml:space="preserve">Combustión</t>
  </si>
  <si>
    <t xml:space="preserve">Ceniza</t>
  </si>
  <si>
    <t xml:space="preserve">Primer tercio</t>
  </si>
  <si>
    <t xml:space="preserve">Segundo tercio</t>
  </si>
  <si>
    <t xml:space="preserve">Último tercio</t>
  </si>
  <si>
    <t xml:space="preserve">Equilibrio</t>
  </si>
  <si>
    <t xml:space="preserve">Persistencia</t>
  </si>
  <si>
    <t xml:space="preserve">Consistencia entre unidades</t>
  </si>
  <si>
    <t xml:space="preserve">Puntuación media del pliego</t>
  </si>
  <si>
    <t xml:space="preserve">Torcedor ≠ mezclador: funciones necesarias</t>
  </si>
  <si>
    <t xml:space="preserve">Función</t>
  </si>
  <si>
    <t xml:space="preserve">Responsabilidad</t>
  </si>
  <si>
    <t xml:space="preserve">Quién</t>
  </si>
  <si>
    <t xml:space="preserve">Construcción: bonchado, aplicación de capa, perilla, consistencia dimensional y de tiro.</t>
  </si>
  <si>
    <t xml:space="preserve">Contacto del promotor</t>
  </si>
  <si>
    <t xml:space="preserve">Mezclador / maestro ligador</t>
  </si>
  <si>
    <t xml:space="preserve">Diseño de la liga (proporciones de ligero, seco, volado), selección de añadas, consistencia entre cosechas.</t>
  </si>
  <si>
    <t xml:space="preserve">A identificar en la fábrica</t>
  </si>
  <si>
    <t xml:space="preserve">Escogedor de capas</t>
  </si>
  <si>
    <t xml:space="preserve">Clasificación por color y calidad; homogeneidad de caja.</t>
  </si>
  <si>
    <t xml:space="preserve">Muestreo, medición de tiro, catas, liberación de lotes.</t>
  </si>
  <si>
    <t xml:space="preserve">Fábrica + inspección independiente</t>
  </si>
  <si>
    <t xml:space="preserve">Responsable de almacén de hoja</t>
  </si>
  <si>
    <t xml:space="preserve">Disponibilidad y fermentación de hoja; garantiza suministro de la misma liga.</t>
  </si>
  <si>
    <t xml:space="preserve">Fábrica / Tabacuba — BLOQUEADO</t>
  </si>
  <si>
    <t xml:space="preserve">Responsable regulatorio UE</t>
  </si>
  <si>
    <t xml:space="preserve">Ingredientes EU-CEG, etiquetado, trazabilidad, marcas fiscales.</t>
  </si>
  <si>
    <t xml:space="preserve">SL española / consultor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</si>
</sst>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"/>
    <numFmt numFmtId="167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1A17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1F4E9E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5A3E2B"/>
        <bgColor rgb="FF666666"/>
      </patternFill>
    </fill>
    <fill>
      <patternFill patternType="solid">
        <fgColor rgb="FFFFF8E1"/>
        <bgColor rgb="FFFFFFFF"/>
      </patternFill>
    </fill>
    <fill>
      <patternFill patternType="solid">
        <fgColor rgb="FFE2F0D9"/>
        <bgColor rgb="FFFFF8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8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1B1A17"/>
      <rgbColor rgb="FF993300"/>
      <rgbColor rgb="FF993366"/>
      <rgbColor rgb="FF1F4E9E"/>
      <rgbColor rgb="FF5A3E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6"/>
    <col collapsed="false" customWidth="true" hidden="false" outlineLevel="0" max="3" min="3" style="0" width="46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6" min="6" style="0" width="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 t="s">
        <v>9</v>
      </c>
      <c r="C5" s="5" t="s">
        <v>10</v>
      </c>
      <c r="D5" s="4" t="s">
        <v>11</v>
      </c>
      <c r="E5" s="6"/>
      <c r="F5" s="6"/>
    </row>
    <row r="6" customFormat="false" ht="15" hidden="false" customHeight="false" outlineLevel="0" collapsed="false">
      <c r="A6" s="4" t="s">
        <v>8</v>
      </c>
      <c r="B6" s="4" t="s">
        <v>12</v>
      </c>
      <c r="C6" s="5" t="s">
        <v>13</v>
      </c>
      <c r="D6" s="4" t="s">
        <v>14</v>
      </c>
      <c r="E6" s="6"/>
      <c r="F6" s="6"/>
    </row>
    <row r="7" customFormat="false" ht="15" hidden="false" customHeight="false" outlineLevel="0" collapsed="false">
      <c r="A7" s="4" t="s">
        <v>8</v>
      </c>
      <c r="B7" s="4" t="s">
        <v>15</v>
      </c>
      <c r="C7" s="5" t="s">
        <v>16</v>
      </c>
      <c r="D7" s="4" t="s">
        <v>11</v>
      </c>
      <c r="E7" s="6"/>
      <c r="F7" s="6"/>
    </row>
    <row r="8" customFormat="false" ht="15" hidden="false" customHeight="false" outlineLevel="0" collapsed="false">
      <c r="A8" s="4" t="s">
        <v>17</v>
      </c>
      <c r="B8" s="4" t="s">
        <v>18</v>
      </c>
      <c r="C8" s="5" t="s">
        <v>19</v>
      </c>
      <c r="D8" s="4" t="s">
        <v>14</v>
      </c>
      <c r="E8" s="6"/>
      <c r="F8" s="6"/>
    </row>
    <row r="9" customFormat="false" ht="15" hidden="false" customHeight="false" outlineLevel="0" collapsed="false">
      <c r="A9" s="4" t="s">
        <v>17</v>
      </c>
      <c r="B9" s="4" t="s">
        <v>20</v>
      </c>
      <c r="C9" s="5" t="s">
        <v>21</v>
      </c>
      <c r="D9" s="4" t="s">
        <v>14</v>
      </c>
      <c r="E9" s="6"/>
      <c r="F9" s="6"/>
    </row>
    <row r="10" customFormat="false" ht="15" hidden="false" customHeight="false" outlineLevel="0" collapsed="false">
      <c r="A10" s="4" t="s">
        <v>17</v>
      </c>
      <c r="B10" s="4" t="s">
        <v>22</v>
      </c>
      <c r="C10" s="5"/>
      <c r="D10" s="4" t="s">
        <v>14</v>
      </c>
      <c r="E10" s="6"/>
      <c r="F10" s="6"/>
    </row>
    <row r="11" customFormat="false" ht="15" hidden="false" customHeight="false" outlineLevel="0" collapsed="false">
      <c r="A11" s="4" t="s">
        <v>23</v>
      </c>
      <c r="B11" s="4" t="s">
        <v>24</v>
      </c>
      <c r="C11" s="5"/>
      <c r="D11" s="4" t="s">
        <v>25</v>
      </c>
      <c r="E11" s="6"/>
      <c r="F11" s="6"/>
    </row>
    <row r="12" customFormat="false" ht="15" hidden="false" customHeight="false" outlineLevel="0" collapsed="false">
      <c r="A12" s="4" t="s">
        <v>23</v>
      </c>
      <c r="B12" s="4" t="s">
        <v>26</v>
      </c>
      <c r="C12" s="5"/>
      <c r="D12" s="4" t="s">
        <v>27</v>
      </c>
      <c r="E12" s="6"/>
      <c r="F12" s="6"/>
    </row>
    <row r="13" customFormat="false" ht="15" hidden="false" customHeight="false" outlineLevel="0" collapsed="false">
      <c r="A13" s="4" t="s">
        <v>23</v>
      </c>
      <c r="B13" s="4" t="s">
        <v>28</v>
      </c>
      <c r="C13" s="5"/>
      <c r="D13" s="4" t="s">
        <v>27</v>
      </c>
      <c r="E13" s="6"/>
      <c r="F13" s="6"/>
    </row>
    <row r="14" customFormat="false" ht="15" hidden="false" customHeight="false" outlineLevel="0" collapsed="false">
      <c r="A14" s="4" t="s">
        <v>29</v>
      </c>
      <c r="B14" s="4" t="s">
        <v>30</v>
      </c>
      <c r="C14" s="5"/>
      <c r="D14" s="4" t="s">
        <v>31</v>
      </c>
      <c r="E14" s="6"/>
      <c r="F14" s="6"/>
    </row>
    <row r="15" customFormat="false" ht="15" hidden="false" customHeight="false" outlineLevel="0" collapsed="false">
      <c r="A15" s="4" t="s">
        <v>29</v>
      </c>
      <c r="B15" s="4" t="s">
        <v>32</v>
      </c>
      <c r="C15" s="5"/>
      <c r="D15" s="4" t="s">
        <v>31</v>
      </c>
      <c r="E15" s="6"/>
      <c r="F15" s="6"/>
    </row>
    <row r="16" customFormat="false" ht="15" hidden="false" customHeight="false" outlineLevel="0" collapsed="false">
      <c r="A16" s="4" t="s">
        <v>29</v>
      </c>
      <c r="B16" s="4" t="s">
        <v>33</v>
      </c>
      <c r="C16" s="5"/>
      <c r="D16" s="4" t="s">
        <v>34</v>
      </c>
      <c r="E16" s="6"/>
      <c r="F16" s="6"/>
    </row>
    <row r="17" customFormat="false" ht="15" hidden="false" customHeight="false" outlineLevel="0" collapsed="false">
      <c r="A17" s="4" t="s">
        <v>29</v>
      </c>
      <c r="B17" s="4" t="s">
        <v>35</v>
      </c>
      <c r="C17" s="5"/>
      <c r="D17" s="4" t="s">
        <v>14</v>
      </c>
      <c r="E17" s="6"/>
      <c r="F17" s="6"/>
    </row>
    <row r="18" customFormat="false" ht="15" hidden="false" customHeight="false" outlineLevel="0" collapsed="false">
      <c r="A18" s="4" t="s">
        <v>29</v>
      </c>
      <c r="B18" s="4" t="s">
        <v>36</v>
      </c>
      <c r="C18" s="5"/>
      <c r="D18" s="4" t="s">
        <v>37</v>
      </c>
      <c r="E18" s="6"/>
      <c r="F18" s="6"/>
    </row>
    <row r="19" customFormat="false" ht="15" hidden="false" customHeight="false" outlineLevel="0" collapsed="false">
      <c r="A19" s="4" t="s">
        <v>38</v>
      </c>
      <c r="B19" s="4" t="s">
        <v>39</v>
      </c>
      <c r="C19" s="5" t="s">
        <v>40</v>
      </c>
      <c r="D19" s="4" t="s">
        <v>41</v>
      </c>
      <c r="E19" s="6"/>
      <c r="F19" s="6"/>
    </row>
    <row r="20" customFormat="false" ht="15" hidden="false" customHeight="false" outlineLevel="0" collapsed="false">
      <c r="A20" s="4" t="s">
        <v>38</v>
      </c>
      <c r="B20" s="4" t="s">
        <v>42</v>
      </c>
      <c r="C20" s="5"/>
      <c r="D20" s="4" t="s">
        <v>43</v>
      </c>
      <c r="E20" s="6"/>
      <c r="F20" s="6"/>
    </row>
    <row r="21" customFormat="false" ht="15" hidden="false" customHeight="false" outlineLevel="0" collapsed="false">
      <c r="A21" s="4" t="s">
        <v>38</v>
      </c>
      <c r="B21" s="4" t="s">
        <v>44</v>
      </c>
      <c r="C21" s="5" t="s">
        <v>45</v>
      </c>
      <c r="D21" s="4" t="s">
        <v>41</v>
      </c>
      <c r="E21" s="6"/>
      <c r="F21" s="6"/>
    </row>
    <row r="22" customFormat="false" ht="15" hidden="false" customHeight="false" outlineLevel="0" collapsed="false">
      <c r="A22" s="4" t="s">
        <v>38</v>
      </c>
      <c r="B22" s="4" t="s">
        <v>46</v>
      </c>
      <c r="C22" s="5" t="s">
        <v>47</v>
      </c>
      <c r="D22" s="4" t="s">
        <v>41</v>
      </c>
      <c r="E22" s="6"/>
      <c r="F22" s="6"/>
    </row>
    <row r="23" customFormat="false" ht="15" hidden="false" customHeight="false" outlineLevel="0" collapsed="false">
      <c r="A23" s="4" t="s">
        <v>38</v>
      </c>
      <c r="B23" s="4" t="s">
        <v>48</v>
      </c>
      <c r="C23" s="5" t="s">
        <v>49</v>
      </c>
      <c r="D23" s="4" t="s">
        <v>41</v>
      </c>
      <c r="E23" s="6"/>
      <c r="F23" s="6"/>
    </row>
    <row r="24" customFormat="false" ht="15" hidden="false" customHeight="false" outlineLevel="0" collapsed="false">
      <c r="A24" s="4" t="s">
        <v>50</v>
      </c>
      <c r="B24" s="4" t="s">
        <v>51</v>
      </c>
      <c r="C24" s="5" t="s">
        <v>52</v>
      </c>
      <c r="D24" s="4" t="s">
        <v>53</v>
      </c>
      <c r="E24" s="6"/>
      <c r="F24" s="6"/>
    </row>
    <row r="25" customFormat="false" ht="15" hidden="false" customHeight="false" outlineLevel="0" collapsed="false">
      <c r="A25" s="4" t="s">
        <v>50</v>
      </c>
      <c r="B25" s="4" t="s">
        <v>54</v>
      </c>
      <c r="C25" s="5" t="s">
        <v>55</v>
      </c>
      <c r="D25" s="4" t="s">
        <v>14</v>
      </c>
      <c r="E25" s="6"/>
      <c r="F25" s="6"/>
    </row>
    <row r="26" customFormat="false" ht="15" hidden="false" customHeight="false" outlineLevel="0" collapsed="false">
      <c r="A26" s="4" t="s">
        <v>50</v>
      </c>
      <c r="B26" s="4" t="s">
        <v>56</v>
      </c>
      <c r="C26" s="5"/>
      <c r="D26" s="4" t="s">
        <v>14</v>
      </c>
      <c r="E26" s="6"/>
      <c r="F26" s="6"/>
    </row>
    <row r="27" customFormat="false" ht="15" hidden="false" customHeight="false" outlineLevel="0" collapsed="false">
      <c r="A27" s="4" t="s">
        <v>57</v>
      </c>
      <c r="B27" s="4" t="s">
        <v>58</v>
      </c>
      <c r="C27" s="5" t="s">
        <v>59</v>
      </c>
      <c r="D27" s="4" t="s">
        <v>11</v>
      </c>
      <c r="E27" s="6"/>
      <c r="F27" s="6"/>
    </row>
    <row r="28" customFormat="false" ht="15" hidden="false" customHeight="false" outlineLevel="0" collapsed="false">
      <c r="A28" s="4" t="s">
        <v>57</v>
      </c>
      <c r="B28" s="4" t="s">
        <v>60</v>
      </c>
      <c r="C28" s="5" t="s">
        <v>61</v>
      </c>
      <c r="D28" s="4" t="s">
        <v>11</v>
      </c>
      <c r="E28" s="6"/>
      <c r="F28" s="6"/>
    </row>
    <row r="29" customFormat="false" ht="15" hidden="false" customHeight="false" outlineLevel="0" collapsed="false">
      <c r="A29" s="4" t="s">
        <v>62</v>
      </c>
      <c r="B29" s="4" t="s">
        <v>63</v>
      </c>
      <c r="C29" s="5"/>
      <c r="D29" s="4" t="s">
        <v>14</v>
      </c>
      <c r="E29" s="6"/>
      <c r="F29" s="6"/>
    </row>
    <row r="30" customFormat="false" ht="15" hidden="false" customHeight="false" outlineLevel="0" collapsed="false">
      <c r="A30" s="4" t="s">
        <v>62</v>
      </c>
      <c r="B30" s="4" t="s">
        <v>64</v>
      </c>
      <c r="C30" s="5"/>
      <c r="D30" s="4" t="s">
        <v>65</v>
      </c>
      <c r="E30" s="6"/>
      <c r="F30" s="6"/>
    </row>
    <row r="31" customFormat="false" ht="15" hidden="false" customHeight="false" outlineLevel="0" collapsed="false">
      <c r="A31" s="4" t="s">
        <v>66</v>
      </c>
      <c r="B31" s="4" t="s">
        <v>67</v>
      </c>
      <c r="C31" s="5" t="s">
        <v>68</v>
      </c>
      <c r="D31" s="4" t="s">
        <v>69</v>
      </c>
      <c r="E31" s="6"/>
      <c r="F31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70"/>
    <col collapsed="false" customWidth="true" hidden="false" outlineLevel="0" max="6" min="6" style="0" width="14"/>
  </cols>
  <sheetData>
    <row r="1" customFormat="false" ht="19.7" hidden="false" customHeight="false" outlineLevel="0" collapsed="false">
      <c r="A1" s="1" t="s">
        <v>70</v>
      </c>
    </row>
    <row r="2" customFormat="false" ht="15" hidden="false" customHeight="false" outlineLevel="0" collapsed="false">
      <c r="A2" s="2" t="s">
        <v>71</v>
      </c>
    </row>
    <row r="4" customFormat="false" ht="28.35" hidden="false" customHeight="false" outlineLevel="0" collapsed="false">
      <c r="A4" s="3" t="s">
        <v>72</v>
      </c>
      <c r="B4" s="3" t="s">
        <v>73</v>
      </c>
      <c r="C4" s="3" t="s">
        <v>74</v>
      </c>
      <c r="D4" s="3" t="s">
        <v>75</v>
      </c>
      <c r="E4" s="3" t="s">
        <v>76</v>
      </c>
      <c r="F4" s="3" t="s">
        <v>77</v>
      </c>
    </row>
    <row r="5" customFormat="false" ht="23.85" hidden="false" customHeight="false" outlineLevel="0" collapsed="false">
      <c r="A5" s="7" t="s">
        <v>78</v>
      </c>
      <c r="B5" s="7" t="s">
        <v>79</v>
      </c>
      <c r="C5" s="7" t="s">
        <v>80</v>
      </c>
      <c r="D5" s="7" t="s">
        <v>81</v>
      </c>
      <c r="E5" s="7" t="s">
        <v>82</v>
      </c>
      <c r="F5" s="7" t="s">
        <v>83</v>
      </c>
    </row>
    <row r="6" customFormat="false" ht="15" hidden="false" customHeight="false" outlineLevel="0" collapsed="false">
      <c r="A6" s="7" t="s">
        <v>84</v>
      </c>
      <c r="B6" s="7" t="s">
        <v>85</v>
      </c>
      <c r="C6" s="7" t="s">
        <v>86</v>
      </c>
      <c r="D6" s="7" t="s">
        <v>87</v>
      </c>
      <c r="E6" s="7" t="s">
        <v>88</v>
      </c>
      <c r="F6" s="7" t="s">
        <v>89</v>
      </c>
    </row>
    <row r="7" customFormat="false" ht="15" hidden="false" customHeight="false" outlineLevel="0" collapsed="false">
      <c r="A7" s="7" t="s">
        <v>90</v>
      </c>
      <c r="B7" s="7" t="s">
        <v>91</v>
      </c>
      <c r="C7" s="7" t="s">
        <v>92</v>
      </c>
      <c r="D7" s="7" t="s">
        <v>93</v>
      </c>
      <c r="E7" s="7" t="s">
        <v>94</v>
      </c>
      <c r="F7" s="7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44"/>
    <col collapsed="false" customWidth="true" hidden="false" outlineLevel="0" max="6" min="6" style="0" width="16"/>
  </cols>
  <sheetData>
    <row r="1" customFormat="false" ht="19.7" hidden="false" customHeight="false" outlineLevel="0" collapsed="false">
      <c r="A1" s="1" t="s">
        <v>96</v>
      </c>
    </row>
    <row r="2" customFormat="false" ht="15" hidden="false" customHeight="false" outlineLevel="0" collapsed="false">
      <c r="A2" s="2" t="s">
        <v>97</v>
      </c>
    </row>
    <row r="4" customFormat="false" ht="15" hidden="false" customHeight="false" outlineLevel="0" collapsed="false">
      <c r="A4" s="3" t="s">
        <v>98</v>
      </c>
      <c r="B4" s="3" t="s">
        <v>99</v>
      </c>
      <c r="C4" s="3" t="s">
        <v>100</v>
      </c>
      <c r="D4" s="3" t="s">
        <v>101</v>
      </c>
      <c r="E4" s="3" t="s">
        <v>102</v>
      </c>
      <c r="F4" s="3" t="s">
        <v>103</v>
      </c>
    </row>
    <row r="5" customFormat="false" ht="15" hidden="false" customHeight="false" outlineLevel="0" collapsed="false">
      <c r="A5" s="7" t="s">
        <v>104</v>
      </c>
      <c r="B5" s="7" t="s">
        <v>105</v>
      </c>
      <c r="C5" s="7" t="s">
        <v>106</v>
      </c>
      <c r="D5" s="7" t="s">
        <v>107</v>
      </c>
      <c r="E5" s="7" t="s">
        <v>108</v>
      </c>
      <c r="F5" s="7" t="s">
        <v>109</v>
      </c>
    </row>
    <row r="6" customFormat="false" ht="15" hidden="false" customHeight="false" outlineLevel="0" collapsed="false">
      <c r="A6" s="7" t="s">
        <v>104</v>
      </c>
      <c r="B6" s="7" t="s">
        <v>110</v>
      </c>
      <c r="C6" s="7" t="s">
        <v>111</v>
      </c>
      <c r="D6" s="7" t="s">
        <v>112</v>
      </c>
      <c r="E6" s="7" t="s">
        <v>113</v>
      </c>
      <c r="F6" s="7" t="s">
        <v>114</v>
      </c>
    </row>
    <row r="7" customFormat="false" ht="15" hidden="false" customHeight="false" outlineLevel="0" collapsed="false">
      <c r="A7" s="7" t="s">
        <v>104</v>
      </c>
      <c r="B7" s="7" t="s">
        <v>115</v>
      </c>
      <c r="C7" s="7" t="s">
        <v>116</v>
      </c>
      <c r="D7" s="7" t="s">
        <v>112</v>
      </c>
      <c r="E7" s="7" t="s">
        <v>117</v>
      </c>
      <c r="F7" s="7" t="s">
        <v>109</v>
      </c>
    </row>
    <row r="8" customFormat="false" ht="15" hidden="false" customHeight="false" outlineLevel="0" collapsed="false">
      <c r="A8" s="7" t="s">
        <v>104</v>
      </c>
      <c r="B8" s="7" t="s">
        <v>118</v>
      </c>
      <c r="C8" s="7" t="s">
        <v>119</v>
      </c>
      <c r="D8" s="7" t="s">
        <v>120</v>
      </c>
      <c r="E8" s="7" t="s">
        <v>121</v>
      </c>
      <c r="F8" s="7" t="s">
        <v>122</v>
      </c>
    </row>
    <row r="9" customFormat="false" ht="15" hidden="false" customHeight="false" outlineLevel="0" collapsed="false">
      <c r="A9" s="7" t="s">
        <v>104</v>
      </c>
      <c r="B9" s="7" t="s">
        <v>123</v>
      </c>
      <c r="C9" s="7" t="s">
        <v>124</v>
      </c>
      <c r="D9" s="7" t="s">
        <v>125</v>
      </c>
      <c r="E9" s="7" t="s">
        <v>126</v>
      </c>
      <c r="F9" s="7" t="s">
        <v>127</v>
      </c>
    </row>
    <row r="10" customFormat="false" ht="15" hidden="false" customHeight="false" outlineLevel="0" collapsed="false">
      <c r="A10" s="7" t="s">
        <v>104</v>
      </c>
      <c r="B10" s="7" t="s">
        <v>128</v>
      </c>
      <c r="C10" s="7" t="s">
        <v>129</v>
      </c>
      <c r="D10" s="7" t="s">
        <v>130</v>
      </c>
      <c r="E10" s="7" t="s">
        <v>131</v>
      </c>
      <c r="F10" s="7" t="s">
        <v>109</v>
      </c>
    </row>
    <row r="11" customFormat="false" ht="15" hidden="false" customHeight="false" outlineLevel="0" collapsed="false">
      <c r="A11" s="7" t="s">
        <v>132</v>
      </c>
      <c r="B11" s="7" t="s">
        <v>133</v>
      </c>
      <c r="C11" s="7" t="s">
        <v>134</v>
      </c>
      <c r="D11" s="7" t="s">
        <v>135</v>
      </c>
      <c r="E11" s="7" t="s">
        <v>136</v>
      </c>
      <c r="F11" s="7" t="s">
        <v>127</v>
      </c>
    </row>
    <row r="12" customFormat="false" ht="15" hidden="false" customHeight="false" outlineLevel="0" collapsed="false">
      <c r="A12" s="7" t="s">
        <v>132</v>
      </c>
      <c r="B12" s="7" t="s">
        <v>137</v>
      </c>
      <c r="C12" s="7" t="s">
        <v>138</v>
      </c>
      <c r="D12" s="7" t="s">
        <v>139</v>
      </c>
      <c r="E12" s="7" t="s">
        <v>140</v>
      </c>
      <c r="F12" s="7" t="s">
        <v>127</v>
      </c>
    </row>
    <row r="13" customFormat="false" ht="15" hidden="false" customHeight="false" outlineLevel="0" collapsed="false">
      <c r="A13" s="7" t="s">
        <v>132</v>
      </c>
      <c r="B13" s="7" t="s">
        <v>141</v>
      </c>
      <c r="C13" s="7" t="s">
        <v>138</v>
      </c>
      <c r="D13" s="7" t="s">
        <v>139</v>
      </c>
      <c r="E13" s="7" t="s">
        <v>142</v>
      </c>
      <c r="F13" s="7" t="s">
        <v>127</v>
      </c>
    </row>
    <row r="15" customFormat="false" ht="15" hidden="false" customHeight="false" outlineLevel="0" collapsed="false">
      <c r="A15" s="8" t="s">
        <v>143</v>
      </c>
      <c r="F15" s="9" t="n">
        <v>0.03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5"/>
  </cols>
  <sheetData>
    <row r="1" customFormat="false" ht="19.7" hidden="false" customHeight="false" outlineLevel="0" collapsed="false">
      <c r="A1" s="1" t="s">
        <v>144</v>
      </c>
    </row>
    <row r="2" customFormat="false" ht="15" hidden="false" customHeight="false" outlineLevel="0" collapsed="false">
      <c r="A2" s="2" t="s">
        <v>145</v>
      </c>
    </row>
    <row r="4" customFormat="false" ht="28.35" hidden="false" customHeight="false" outlineLevel="0" collapsed="false">
      <c r="A4" s="3" t="s">
        <v>146</v>
      </c>
      <c r="B4" s="3" t="s">
        <v>147</v>
      </c>
      <c r="C4" s="3" t="s">
        <v>148</v>
      </c>
      <c r="D4" s="3" t="s">
        <v>149</v>
      </c>
      <c r="E4" s="3" t="s">
        <v>150</v>
      </c>
      <c r="F4" s="3" t="s">
        <v>151</v>
      </c>
      <c r="G4" s="3" t="s">
        <v>152</v>
      </c>
      <c r="H4" s="3" t="s">
        <v>153</v>
      </c>
      <c r="I4" s="3" t="s">
        <v>154</v>
      </c>
      <c r="J4" s="3" t="s">
        <v>155</v>
      </c>
      <c r="K4" s="3" t="s">
        <v>156</v>
      </c>
      <c r="L4" s="3" t="s">
        <v>157</v>
      </c>
    </row>
    <row r="5" customFormat="false" ht="15" hidden="false" customHeight="false" outlineLevel="0" collapsed="false">
      <c r="A5" s="6"/>
      <c r="B5" s="6"/>
      <c r="C5" s="6"/>
      <c r="D5" s="6"/>
      <c r="E5" s="6"/>
      <c r="F5" s="10" t="str">
        <f aca="false">IF(D5&gt;0,E5/D5,"")</f>
        <v/>
      </c>
      <c r="G5" s="6"/>
      <c r="H5" s="6"/>
      <c r="I5" s="6"/>
      <c r="J5" s="6"/>
      <c r="K5" s="6"/>
      <c r="L5" s="6"/>
    </row>
    <row r="6" customFormat="false" ht="15" hidden="false" customHeight="false" outlineLevel="0" collapsed="false">
      <c r="A6" s="6"/>
      <c r="B6" s="6"/>
      <c r="C6" s="6"/>
      <c r="D6" s="6"/>
      <c r="E6" s="6"/>
      <c r="F6" s="10" t="str">
        <f aca="false">IF(D6&gt;0,E6/D6,"")</f>
        <v/>
      </c>
      <c r="G6" s="6"/>
      <c r="H6" s="6"/>
      <c r="I6" s="6"/>
      <c r="J6" s="6"/>
      <c r="K6" s="6"/>
      <c r="L6" s="6"/>
    </row>
    <row r="7" customFormat="false" ht="15" hidden="false" customHeight="false" outlineLevel="0" collapsed="false">
      <c r="A7" s="6"/>
      <c r="B7" s="6"/>
      <c r="C7" s="6"/>
      <c r="D7" s="6"/>
      <c r="E7" s="6"/>
      <c r="F7" s="10" t="str">
        <f aca="false">IF(D7&gt;0,E7/D7,"")</f>
        <v/>
      </c>
      <c r="G7" s="6"/>
      <c r="H7" s="6"/>
      <c r="I7" s="6"/>
      <c r="J7" s="6"/>
      <c r="K7" s="6"/>
      <c r="L7" s="6"/>
    </row>
    <row r="8" customFormat="false" ht="15" hidden="false" customHeight="false" outlineLevel="0" collapsed="false">
      <c r="A8" s="6"/>
      <c r="B8" s="6"/>
      <c r="C8" s="6"/>
      <c r="D8" s="6"/>
      <c r="E8" s="6"/>
      <c r="F8" s="10" t="str">
        <f aca="false">IF(D8&gt;0,E8/D8,"")</f>
        <v/>
      </c>
      <c r="G8" s="6"/>
      <c r="H8" s="6"/>
      <c r="I8" s="6"/>
      <c r="J8" s="6"/>
      <c r="K8" s="6"/>
      <c r="L8" s="6"/>
    </row>
    <row r="9" customFormat="false" ht="15" hidden="false" customHeight="false" outlineLevel="0" collapsed="false">
      <c r="A9" s="6"/>
      <c r="B9" s="6"/>
      <c r="C9" s="6"/>
      <c r="D9" s="6"/>
      <c r="E9" s="6"/>
      <c r="F9" s="10" t="str">
        <f aca="false">IF(D9&gt;0,E9/D9,"")</f>
        <v/>
      </c>
      <c r="G9" s="6"/>
      <c r="H9" s="6"/>
      <c r="I9" s="6"/>
      <c r="J9" s="6"/>
      <c r="K9" s="6"/>
      <c r="L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10" t="str">
        <f aca="false">IF(D10&gt;0,E10/D10,"")</f>
        <v/>
      </c>
      <c r="G10" s="6"/>
      <c r="H10" s="6"/>
      <c r="I10" s="6"/>
      <c r="J10" s="6"/>
      <c r="K10" s="6"/>
      <c r="L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10" t="str">
        <f aca="false">IF(D11&gt;0,E11/D11,"")</f>
        <v/>
      </c>
      <c r="G11" s="6"/>
      <c r="H11" s="6"/>
      <c r="I11" s="6"/>
      <c r="J11" s="6"/>
      <c r="K11" s="6"/>
      <c r="L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10" t="str">
        <f aca="false">IF(D12&gt;0,E12/D12,"")</f>
        <v/>
      </c>
      <c r="G12" s="6"/>
      <c r="H12" s="6"/>
      <c r="I12" s="6"/>
      <c r="J12" s="6"/>
      <c r="K12" s="6"/>
      <c r="L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10" t="str">
        <f aca="false">IF(D13&gt;0,E13/D13,"")</f>
        <v/>
      </c>
      <c r="G13" s="6"/>
      <c r="H13" s="6"/>
      <c r="I13" s="6"/>
      <c r="J13" s="6"/>
      <c r="K13" s="6"/>
      <c r="L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10" t="str">
        <f aca="false">IF(D14&gt;0,E14/D14,"")</f>
        <v/>
      </c>
      <c r="G14" s="6"/>
      <c r="H14" s="6"/>
      <c r="I14" s="6"/>
      <c r="J14" s="6"/>
      <c r="K14" s="6"/>
      <c r="L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10" t="str">
        <f aca="false">IF(D15&gt;0,E15/D15,"")</f>
        <v/>
      </c>
      <c r="G15" s="6"/>
      <c r="H15" s="6"/>
      <c r="I15" s="6"/>
      <c r="J15" s="6"/>
      <c r="K15" s="6"/>
      <c r="L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10" t="str">
        <f aca="false">IF(D16&gt;0,E16/D16,"")</f>
        <v/>
      </c>
      <c r="G16" s="6"/>
      <c r="H16" s="6"/>
      <c r="I16" s="6"/>
      <c r="J16" s="6"/>
      <c r="K16" s="6"/>
      <c r="L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10" t="str">
        <f aca="false">IF(D17&gt;0,E17/D17,"")</f>
        <v/>
      </c>
      <c r="G17" s="6"/>
      <c r="H17" s="6"/>
      <c r="I17" s="6"/>
      <c r="J17" s="6"/>
      <c r="K17" s="6"/>
      <c r="L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10" t="str">
        <f aca="false">IF(D18&gt;0,E18/D18,"")</f>
        <v/>
      </c>
      <c r="G18" s="6"/>
      <c r="H18" s="6"/>
      <c r="I18" s="6"/>
      <c r="J18" s="6"/>
      <c r="K18" s="6"/>
      <c r="L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10" t="str">
        <f aca="false">IF(D19&gt;0,E19/D19,"")</f>
        <v/>
      </c>
      <c r="G19" s="6"/>
      <c r="H19" s="6"/>
      <c r="I19" s="6"/>
      <c r="J19" s="6"/>
      <c r="K19" s="6"/>
      <c r="L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10" t="str">
        <f aca="false">IF(D20&gt;0,E20/D20,"")</f>
        <v/>
      </c>
      <c r="G20" s="6"/>
      <c r="H20" s="6"/>
      <c r="I20" s="6"/>
      <c r="J20" s="6"/>
      <c r="K20" s="6"/>
      <c r="L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10" t="str">
        <f aca="false">IF(D21&gt;0,E21/D21,"")</f>
        <v/>
      </c>
      <c r="G21" s="6"/>
      <c r="H21" s="6"/>
      <c r="I21" s="6"/>
      <c r="J21" s="6"/>
      <c r="K21" s="6"/>
      <c r="L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10" t="str">
        <f aca="false">IF(D22&gt;0,E22/D22,"")</f>
        <v/>
      </c>
      <c r="G22" s="6"/>
      <c r="H22" s="6"/>
      <c r="I22" s="6"/>
      <c r="J22" s="6"/>
      <c r="K22" s="6"/>
      <c r="L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10" t="str">
        <f aca="false">IF(D23&gt;0,E23/D23,"")</f>
        <v/>
      </c>
      <c r="G23" s="6"/>
      <c r="H23" s="6"/>
      <c r="I23" s="6"/>
      <c r="J23" s="6"/>
      <c r="K23" s="6"/>
      <c r="L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10" t="str">
        <f aca="false">IF(D24&gt;0,E24/D24,"")</f>
        <v/>
      </c>
      <c r="G24" s="6"/>
      <c r="H24" s="6"/>
      <c r="I24" s="6"/>
      <c r="J24" s="6"/>
      <c r="K24" s="6"/>
      <c r="L24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2"/>
  </cols>
  <sheetData>
    <row r="1" customFormat="false" ht="19.7" hidden="false" customHeight="false" outlineLevel="0" collapsed="false">
      <c r="A1" s="1" t="s">
        <v>158</v>
      </c>
    </row>
    <row r="2" customFormat="false" ht="15" hidden="false" customHeight="false" outlineLevel="0" collapsed="false">
      <c r="A2" s="2" t="s">
        <v>159</v>
      </c>
    </row>
    <row r="4" customFormat="false" ht="15" hidden="false" customHeight="false" outlineLevel="0" collapsed="false">
      <c r="A4" s="3" t="s">
        <v>99</v>
      </c>
      <c r="B4" s="3" t="s">
        <v>160</v>
      </c>
      <c r="C4" s="3" t="s">
        <v>161</v>
      </c>
      <c r="D4" s="3" t="s">
        <v>162</v>
      </c>
      <c r="E4" s="3" t="s">
        <v>83</v>
      </c>
    </row>
    <row r="5" customFormat="false" ht="15" hidden="false" customHeight="false" outlineLevel="0" collapsed="false">
      <c r="A5" s="8" t="s">
        <v>163</v>
      </c>
      <c r="B5" s="11"/>
      <c r="C5" s="11"/>
      <c r="D5" s="11"/>
      <c r="E5" s="12" t="str">
        <f aca="false">IF(COUNT(B5:D5)&gt;0,AVERAGE(B5:D5),"")</f>
        <v/>
      </c>
    </row>
    <row r="6" customFormat="false" ht="15" hidden="false" customHeight="false" outlineLevel="0" collapsed="false">
      <c r="A6" s="8" t="s">
        <v>115</v>
      </c>
      <c r="B6" s="11"/>
      <c r="C6" s="11"/>
      <c r="D6" s="11"/>
      <c r="E6" s="12" t="str">
        <f aca="false">IF(COUNT(B6:D6)&gt;0,AVERAGE(B6:D6),"")</f>
        <v/>
      </c>
    </row>
    <row r="7" customFormat="false" ht="15" hidden="false" customHeight="false" outlineLevel="0" collapsed="false">
      <c r="A7" s="8" t="s">
        <v>164</v>
      </c>
      <c r="B7" s="11"/>
      <c r="C7" s="11"/>
      <c r="D7" s="11"/>
      <c r="E7" s="12" t="str">
        <f aca="false">IF(COUNT(B7:D7)&gt;0,AVERAGE(B7:D7),"")</f>
        <v/>
      </c>
    </row>
    <row r="8" customFormat="false" ht="15" hidden="false" customHeight="false" outlineLevel="0" collapsed="false">
      <c r="A8" s="8" t="s">
        <v>165</v>
      </c>
      <c r="B8" s="11"/>
      <c r="C8" s="11"/>
      <c r="D8" s="11"/>
      <c r="E8" s="12" t="str">
        <f aca="false">IF(COUNT(B8:D8)&gt;0,AVERAGE(B8:D8),"")</f>
        <v/>
      </c>
    </row>
    <row r="9" customFormat="false" ht="15" hidden="false" customHeight="false" outlineLevel="0" collapsed="false">
      <c r="A9" s="8" t="s">
        <v>166</v>
      </c>
      <c r="B9" s="11"/>
      <c r="C9" s="11"/>
      <c r="D9" s="11"/>
      <c r="E9" s="12" t="str">
        <f aca="false">IF(COUNT(B9:D9)&gt;0,AVERAGE(B9:D9),"")</f>
        <v/>
      </c>
    </row>
    <row r="10" customFormat="false" ht="15" hidden="false" customHeight="false" outlineLevel="0" collapsed="false">
      <c r="A10" s="8" t="s">
        <v>167</v>
      </c>
      <c r="B10" s="11"/>
      <c r="C10" s="11"/>
      <c r="D10" s="11"/>
      <c r="E10" s="12" t="str">
        <f aca="false">IF(COUNT(B10:D10)&gt;0,AVERAGE(B10:D10),"")</f>
        <v/>
      </c>
    </row>
    <row r="11" customFormat="false" ht="15" hidden="false" customHeight="false" outlineLevel="0" collapsed="false">
      <c r="A11" s="8" t="s">
        <v>168</v>
      </c>
      <c r="B11" s="11"/>
      <c r="C11" s="11"/>
      <c r="D11" s="11"/>
      <c r="E11" s="12" t="str">
        <f aca="false">IF(COUNT(B11:D11)&gt;0,AVERAGE(B11:D11),"")</f>
        <v/>
      </c>
    </row>
    <row r="12" customFormat="false" ht="15" hidden="false" customHeight="false" outlineLevel="0" collapsed="false">
      <c r="A12" s="8" t="s">
        <v>77</v>
      </c>
      <c r="B12" s="11"/>
      <c r="C12" s="11"/>
      <c r="D12" s="11"/>
      <c r="E12" s="12" t="str">
        <f aca="false">IF(COUNT(B12:D12)&gt;0,AVERAGE(B12:D12),"")</f>
        <v/>
      </c>
    </row>
    <row r="13" customFormat="false" ht="15" hidden="false" customHeight="false" outlineLevel="0" collapsed="false">
      <c r="A13" s="8" t="s">
        <v>169</v>
      </c>
      <c r="B13" s="11"/>
      <c r="C13" s="11"/>
      <c r="D13" s="11"/>
      <c r="E13" s="12" t="str">
        <f aca="false">IF(COUNT(B13:D13)&gt;0,AVERAGE(B13:D13),"")</f>
        <v/>
      </c>
    </row>
    <row r="14" customFormat="false" ht="15" hidden="false" customHeight="false" outlineLevel="0" collapsed="false">
      <c r="A14" s="8" t="s">
        <v>170</v>
      </c>
      <c r="B14" s="11"/>
      <c r="C14" s="11"/>
      <c r="D14" s="11"/>
      <c r="E14" s="12" t="str">
        <f aca="false">IF(COUNT(B14:D14)&gt;0,AVERAGE(B14:D14),"")</f>
        <v/>
      </c>
    </row>
    <row r="15" customFormat="false" ht="15" hidden="false" customHeight="false" outlineLevel="0" collapsed="false">
      <c r="A15" s="8" t="s">
        <v>171</v>
      </c>
      <c r="B15" s="11"/>
      <c r="C15" s="11"/>
      <c r="D15" s="11"/>
      <c r="E15" s="12" t="str">
        <f aca="false">IF(COUNT(B15:D15)&gt;0,AVERAGE(B15:D15),"")</f>
        <v/>
      </c>
    </row>
    <row r="17" customFormat="false" ht="15" hidden="false" customHeight="false" outlineLevel="0" collapsed="false">
      <c r="A17" s="8" t="s">
        <v>172</v>
      </c>
      <c r="E17" s="13" t="str">
        <f aca="false">IF(COUNT(E5:E15)&gt;0,AVERAGE(E5:E15),"")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  <col collapsed="false" customWidth="true" hidden="false" outlineLevel="0" max="3" min="3" style="0" width="36"/>
  </cols>
  <sheetData>
    <row r="1" customFormat="false" ht="19.7" hidden="false" customHeight="false" outlineLevel="0" collapsed="false">
      <c r="A1" s="1" t="s">
        <v>173</v>
      </c>
    </row>
    <row r="4" customFormat="false" ht="15" hidden="false" customHeight="false" outlineLevel="0" collapsed="false">
      <c r="A4" s="3" t="s">
        <v>174</v>
      </c>
      <c r="B4" s="3" t="s">
        <v>175</v>
      </c>
      <c r="C4" s="3" t="s">
        <v>176</v>
      </c>
    </row>
    <row r="5" customFormat="false" ht="15" hidden="false" customHeight="false" outlineLevel="0" collapsed="false">
      <c r="A5" s="7" t="s">
        <v>27</v>
      </c>
      <c r="B5" s="7" t="s">
        <v>177</v>
      </c>
      <c r="C5" s="7" t="s">
        <v>178</v>
      </c>
    </row>
    <row r="6" customFormat="false" ht="15" hidden="false" customHeight="false" outlineLevel="0" collapsed="false">
      <c r="A6" s="7" t="s">
        <v>179</v>
      </c>
      <c r="B6" s="7" t="s">
        <v>180</v>
      </c>
      <c r="C6" s="7" t="s">
        <v>181</v>
      </c>
    </row>
    <row r="7" customFormat="false" ht="15" hidden="false" customHeight="false" outlineLevel="0" collapsed="false">
      <c r="A7" s="7" t="s">
        <v>182</v>
      </c>
      <c r="B7" s="7" t="s">
        <v>183</v>
      </c>
      <c r="C7" s="7" t="s">
        <v>14</v>
      </c>
    </row>
    <row r="8" customFormat="false" ht="15" hidden="false" customHeight="false" outlineLevel="0" collapsed="false">
      <c r="A8" s="7" t="s">
        <v>41</v>
      </c>
      <c r="B8" s="7" t="s">
        <v>184</v>
      </c>
      <c r="C8" s="7" t="s">
        <v>185</v>
      </c>
    </row>
    <row r="9" customFormat="false" ht="15" hidden="false" customHeight="false" outlineLevel="0" collapsed="false">
      <c r="A9" s="7" t="s">
        <v>186</v>
      </c>
      <c r="B9" s="7" t="s">
        <v>187</v>
      </c>
      <c r="C9" s="7" t="s">
        <v>188</v>
      </c>
    </row>
    <row r="10" customFormat="false" ht="15" hidden="false" customHeight="false" outlineLevel="0" collapsed="false">
      <c r="A10" s="7" t="s">
        <v>189</v>
      </c>
      <c r="B10" s="7" t="s">
        <v>190</v>
      </c>
      <c r="C10" s="7" t="s">
        <v>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2026-10-10T19:38:30Z</dcterms:created>
  <dc:creator>openpyxl</dc:creator>
  <dc:description/>
  <dc:language>en-US</dc:language>
  <cp:lastModifiedBy/>
  <dcterms:modified xsi:type="dcterms:W3CDTF">2026-10-10T19:38:30Z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