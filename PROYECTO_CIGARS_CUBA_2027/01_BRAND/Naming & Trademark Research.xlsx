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aming" sheetId="1" state="visible" r:id="rId3"/>
    <sheet name="Registro y domin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<sst xmlns="http://schemas.openxmlformats.org/spreadsheetml/2006/main" count="156" uniqueCount="121">
  <si>
    <t xml:space="preserve">Naming &amp; Trademark Research — búsqueda PRELIMINAR (no es informe de registrabilidad)</t>
  </si>
  <si>
    <t xml:space="preserve">Colisiones: búsqueda web 10/10/2026 en fuentes del sector. EUIPO/OEPM/OCPI no consultados directamente (acceso bloqueado en el entorno): PENDIENTE por agente de marcas.</t>
  </si>
  <si>
    <t xml:space="preserve">Pesos →</t>
  </si>
  <si>
    <t xml:space="preserve">Nombre</t>
  </si>
  <si>
    <t xml:space="preserve">Concepto / razón</t>
  </si>
  <si>
    <t xml:space="preserve">Singularidad</t>
  </si>
  <si>
    <t xml:space="preserve">Memorabilidad</t>
  </si>
  <si>
    <t xml:space="preserve">Pronunciación internacional</t>
  </si>
  <si>
    <t xml:space="preserve">Adecuación premium</t>
  </si>
  <si>
    <t xml:space="preserve">Riesgo fonético/cultural (5 = bajo)</t>
  </si>
  <si>
    <t xml:space="preserve">Colisión tabaco (5 = ninguna hallada)</t>
  </si>
  <si>
    <t xml:space="preserve">Compatibilidad DO/publicidad (5 = sin problemas)</t>
  </si>
  <si>
    <t xml:space="preserve">Puntuación ponderada</t>
  </si>
  <si>
    <t xml:space="preserve">Colisiones halladas</t>
  </si>
  <si>
    <t xml:space="preserve">Estado</t>
  </si>
  <si>
    <t xml:space="preserve">ARNALDO</t>
  </si>
  <si>
    <t xml:space="preserve">Nombre del torcedor que participa en el proyecto: autenticidad real, firma como logotipo; requiere consentimiento escrito y licencia de nombre/imagen.</t>
  </si>
  <si>
    <t xml:space="preserve">Ninguna marca de puros hallada; posible asociación con Arnaldo Vichot (ex maestro ligador de Partagás, †2026); marca de tabaco similar ARLONDO (Gryson)</t>
  </si>
  <si>
    <t xml:space="preserve">SELECCIONADO por el promotor — condicionado</t>
  </si>
  <si>
    <t xml:space="preserve">FOLIO</t>
  </si>
  <si>
    <t xml:space="preserve">Latín folium = hoja; en español 'hoja' es a la vez hoja de tabaco y página. Formatos bibliográficos (folio, cuarto, octavo) dan nombres de vitola.</t>
  </si>
  <si>
    <t xml:space="preserve">Ninguna hallada en web (S—búsqueda 'Folio cigar')</t>
  </si>
  <si>
    <t xml:space="preserve">FINALISTA — reserva 1</t>
  </si>
  <si>
    <t xml:space="preserve">LUMBRE</t>
  </si>
  <si>
    <t xml:space="preserve">Fuego, luz; palabra española poco usada en marcas de tabaco.</t>
  </si>
  <si>
    <t xml:space="preserve">Ninguna hallada</t>
  </si>
  <si>
    <t xml:space="preserve">FINALISTA — reserva 2</t>
  </si>
  <si>
    <t xml:space="preserve">VELADA</t>
  </si>
  <si>
    <t xml:space="preserve">Reunión nocturna; ritual de sobremesa.</t>
  </si>
  <si>
    <t xml:space="preserve">Finalista descartado</t>
  </si>
  <si>
    <t xml:space="preserve">VERSO</t>
  </si>
  <si>
    <t xml:space="preserve">Verso / reverso de la página.</t>
  </si>
  <si>
    <t xml:space="preserve">Descartado: menos distintivo</t>
  </si>
  <si>
    <t xml:space="preserve">COLOFÓN</t>
  </si>
  <si>
    <t xml:space="preserve">Nota final de un libro impreso; idea de 'firma' del lote.</t>
  </si>
  <si>
    <t xml:space="preserve">No buscado</t>
  </si>
  <si>
    <t xml:space="preserve">Usado como nombre del documento interior</t>
  </si>
  <si>
    <t xml:space="preserve">CÁLAMO</t>
  </si>
  <si>
    <t xml:space="preserve">Caña de escritura; literario.</t>
  </si>
  <si>
    <t xml:space="preserve">Descartado: pronunciación</t>
  </si>
  <si>
    <t xml:space="preserve">ALBEDO</t>
  </si>
  <si>
    <t xml:space="preserve">Reflectividad; ceniza blanca.</t>
  </si>
  <si>
    <t xml:space="preserve">Descartado: frío, técnico</t>
  </si>
  <si>
    <t xml:space="preserve">ORIGO</t>
  </si>
  <si>
    <t xml:space="preserve">Origen (latín).</t>
  </si>
  <si>
    <t xml:space="preserve">Descartado: alegación de origen sensible ante DO</t>
  </si>
  <si>
    <t xml:space="preserve">MATIZ</t>
  </si>
  <si>
    <t xml:space="preserve">Matiz aromático.</t>
  </si>
  <si>
    <t xml:space="preserve">Descartado: 'z' difícil, genérico</t>
  </si>
  <si>
    <t xml:space="preserve">ARCANA</t>
  </si>
  <si>
    <t xml:space="preserve">Secretos; misterio.</t>
  </si>
  <si>
    <t xml:space="preserve">Descartado: connotación esotérica</t>
  </si>
  <si>
    <t xml:space="preserve">SILENTE</t>
  </si>
  <si>
    <t xml:space="preserve">Silencioso; lujo discreto.</t>
  </si>
  <si>
    <t xml:space="preserve">Descartado</t>
  </si>
  <si>
    <t xml:space="preserve">ALQUIMIA</t>
  </si>
  <si>
    <t xml:space="preserve">Transformación de la hoja.</t>
  </si>
  <si>
    <t xml:space="preserve">Descartado: sobreexplotado en lujo</t>
  </si>
  <si>
    <t xml:space="preserve">AURELIA</t>
  </si>
  <si>
    <t xml:space="preserve">Dorada.</t>
  </si>
  <si>
    <t xml:space="preserve">'Aurelius' (Tributary Cigars) — similar (S—búsqueda)</t>
  </si>
  <si>
    <t xml:space="preserve">Descartado: proximidad</t>
  </si>
  <si>
    <t xml:space="preserve">TERCIO</t>
  </si>
  <si>
    <t xml:space="preserve">Fardo de hojas en yagua.</t>
  </si>
  <si>
    <t xml:space="preserve">Término de proceso usado por Macanudo 'Tercio-Aged'</t>
  </si>
  <si>
    <t xml:space="preserve">Descartado: descriptivo</t>
  </si>
  <si>
    <t xml:space="preserve">CUJE</t>
  </si>
  <si>
    <t xml:space="preserve">Vara de secado en casas de tabaco.</t>
  </si>
  <si>
    <t xml:space="preserve">'El Cuje' en directorio de marcas</t>
  </si>
  <si>
    <t xml:space="preserve">Descartado: colisión</t>
  </si>
  <si>
    <t xml:space="preserve">YAGUA</t>
  </si>
  <si>
    <t xml:space="preserve">Hoja de palma real que envuelve tercios.</t>
  </si>
  <si>
    <t xml:space="preserve">Marca de J.C. Newman (S39)</t>
  </si>
  <si>
    <t xml:space="preserve">EXCLUIDO: colisión directa</t>
  </si>
  <si>
    <t xml:space="preserve">EL LECTOR</t>
  </si>
  <si>
    <t xml:space="preserve">Tradición del lector de tabaquería (1865).</t>
  </si>
  <si>
    <t xml:space="preserve">Vitola 'El Lector' de La Galera (S40)</t>
  </si>
  <si>
    <t xml:space="preserve">EXCLUIDO: colisión</t>
  </si>
  <si>
    <t xml:space="preserve">ESCOGIDA</t>
  </si>
  <si>
    <t xml:space="preserve">Selección de hojas.</t>
  </si>
  <si>
    <t xml:space="preserve">Hoyo de Monterrey Escogidos; La Aurora Escogidos (S41)</t>
  </si>
  <si>
    <t xml:space="preserve">EXCLUIDO: colisión y descriptivo</t>
  </si>
  <si>
    <t xml:space="preserve">CAPOTE</t>
  </si>
  <si>
    <t xml:space="preserve">Hoja capote (capa intermedia).</t>
  </si>
  <si>
    <t xml:space="preserve">Término genérico del sector</t>
  </si>
  <si>
    <t xml:space="preserve">EXCLUIDO: genérico</t>
  </si>
  <si>
    <t xml:space="preserve">TAPADO</t>
  </si>
  <si>
    <t xml:space="preserve">Cultivo bajo tela.</t>
  </si>
  <si>
    <t xml:space="preserve">CASA HABANA / VUELTA ABAJO…</t>
  </si>
  <si>
    <t xml:space="preserve">Evocación geográfica.</t>
  </si>
  <si>
    <t xml:space="preserve">'Cuba', 'La Habana' y derivados protegidos como IG para puros (OLG Múnich, S13)</t>
  </si>
  <si>
    <t xml:space="preserve">PROHIBIDO</t>
  </si>
  <si>
    <t xml:space="preserve">Plan de verificación de registrabilidad y dominios (informativo)</t>
  </si>
  <si>
    <t xml:space="preserve">Los dominios NO se usarán como canal de venta de tabaco (prohibido). Sólo información corporativa B2B.</t>
  </si>
  <si>
    <t xml:space="preserve">Registro</t>
  </si>
  <si>
    <t xml:space="preserve">Búsqueda</t>
  </si>
  <si>
    <t xml:space="preserve">Responsable</t>
  </si>
  <si>
    <t xml:space="preserve">EUIPO (clase 34, 35)</t>
  </si>
  <si>
    <t xml:space="preserve">Idéntica y similar (ARNALDO, ARNALDO + apellido, ARLONDO, ARNAUD…) + firma como marca figurativa</t>
  </si>
  <si>
    <t xml:space="preserve">PENDIENTE</t>
  </si>
  <si>
    <t xml:space="preserve">Agente de marcas</t>
  </si>
  <si>
    <t xml:space="preserve">OEPM / OCPI / WIPO</t>
  </si>
  <si>
    <t xml:space="preserve">Nacional, Cuba (vía agente) e internacional; consentimiento de Arnaldo adjunto</t>
  </si>
  <si>
    <t xml:space="preserve">Búsqueda idéntica y similar (FOLIO, FOLIUM, PHOLIO) + TMview</t>
  </si>
  <si>
    <t xml:space="preserve">OEPM (clase 34)</t>
  </si>
  <si>
    <t xml:space="preserve">Búsqueda nacional + nombres comerciales</t>
  </si>
  <si>
    <t xml:space="preserve">OCPI Cuba (clase 34)</t>
  </si>
  <si>
    <t xml:space="preserve">Vía Agente Oficial cubano (S42)</t>
  </si>
  <si>
    <t xml:space="preserve">PENDIENTE / BLOQUEADO hasta Fase 0</t>
  </si>
  <si>
    <t xml:space="preserve">Abogado cubano</t>
  </si>
  <si>
    <t xml:space="preserve">WIPO Global Brand Database</t>
  </si>
  <si>
    <t xml:space="preserve">Marcas internacionales (Madrid) con efecto en UE</t>
  </si>
  <si>
    <t xml:space="preserve">Dominios .com / .es / .eu</t>
  </si>
  <si>
    <t xml:space="preserve">Variantes con sufijo (p.ej. 'folio-cigars', 'foliotabacos'): sólo informativo</t>
  </si>
  <si>
    <t xml:space="preserve">PENDIENTE (no comprobado)</t>
  </si>
  <si>
    <t xml:space="preserve">Promotor</t>
  </si>
  <si>
    <t xml:space="preserve">EUIPO/OEPM/OCPI</t>
  </si>
  <si>
    <t xml:space="preserve">Igual que FOLIO</t>
  </si>
  <si>
    <t xml:space="preserve">Agente</t>
  </si>
  <si>
    <t xml:space="preserve">Igual que FOLIO; 'Velada' es palabra común: revisar distintividad</t>
  </si>
  <si>
    <t xml:space="preserve">Advertencia: una búsqueda web sin resultados NO acredita disponibilidad. Antes de producir anillas o cajas, encargar informe de registrabilidad y presentar solicitud EUIPO (tasa base 850 € 1 clase — N05).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</si>
</sst>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F4E9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9C000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5A3E2B"/>
        <bgColor rgb="FF666666"/>
      </patternFill>
    </fill>
    <fill>
      <patternFill patternType="solid">
        <fgColor rgb="FFE2F0D9"/>
        <bgColor rgb="FFFFF8E1"/>
      </patternFill>
    </fill>
    <fill>
      <patternFill patternType="solid">
        <fgColor rgb="FFFADBD8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9" min="3" style="0" width="11"/>
    <col collapsed="false" customWidth="true" hidden="false" outlineLevel="0" max="10" min="10" style="0" width="12"/>
    <col collapsed="false" customWidth="true" hidden="false" outlineLevel="0" max="11" min="11" style="0" width="50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4" t="n">
        <v>0.15</v>
      </c>
      <c r="D3" s="4" t="n">
        <v>0.15</v>
      </c>
      <c r="E3" s="4" t="n">
        <v>0.1</v>
      </c>
      <c r="F3" s="4" t="n">
        <v>0.15</v>
      </c>
      <c r="G3" s="4" t="n">
        <v>0.1</v>
      </c>
      <c r="H3" s="4" t="n">
        <v>0.2</v>
      </c>
      <c r="I3" s="4" t="n">
        <v>0.15</v>
      </c>
    </row>
    <row r="4" customFormat="false" ht="68.6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35.05" hidden="false" customHeight="false" outlineLevel="0" collapsed="false">
      <c r="A5" s="6" t="s">
        <v>15</v>
      </c>
      <c r="B5" s="7" t="s">
        <v>16</v>
      </c>
      <c r="C5" s="8" t="n">
        <v>3</v>
      </c>
      <c r="D5" s="8" t="n">
        <v>5</v>
      </c>
      <c r="E5" s="8" t="n">
        <v>5</v>
      </c>
      <c r="F5" s="8" t="n">
        <v>5</v>
      </c>
      <c r="G5" s="8" t="n">
        <v>4</v>
      </c>
      <c r="H5" s="8" t="n">
        <v>4</v>
      </c>
      <c r="I5" s="8" t="n">
        <v>5</v>
      </c>
      <c r="J5" s="9" t="n">
        <f aca="false">SUMPRODUCT($C$3:$I$3,C5:I5)</f>
        <v>4.4</v>
      </c>
      <c r="K5" s="7" t="s">
        <v>17</v>
      </c>
      <c r="L5" s="6" t="s">
        <v>18</v>
      </c>
    </row>
    <row r="6" customFormat="false" ht="23.85" hidden="false" customHeight="false" outlineLevel="0" collapsed="false">
      <c r="A6" s="6" t="s">
        <v>19</v>
      </c>
      <c r="B6" s="7" t="s">
        <v>20</v>
      </c>
      <c r="C6" s="8" t="n">
        <v>4</v>
      </c>
      <c r="D6" s="8" t="n">
        <v>5</v>
      </c>
      <c r="E6" s="8" t="n">
        <v>5</v>
      </c>
      <c r="F6" s="8" t="n">
        <v>5</v>
      </c>
      <c r="G6" s="8" t="n">
        <v>5</v>
      </c>
      <c r="H6" s="8" t="n">
        <v>4</v>
      </c>
      <c r="I6" s="8" t="n">
        <v>5</v>
      </c>
      <c r="J6" s="9" t="n">
        <f aca="false">SUMPRODUCT($C$3:$I$3,C6:I6)</f>
        <v>4.65</v>
      </c>
      <c r="K6" s="7" t="s">
        <v>21</v>
      </c>
      <c r="L6" s="6" t="s">
        <v>22</v>
      </c>
    </row>
    <row r="7" customFormat="false" ht="15" hidden="false" customHeight="false" outlineLevel="0" collapsed="false">
      <c r="A7" s="6" t="s">
        <v>23</v>
      </c>
      <c r="B7" s="7" t="s">
        <v>24</v>
      </c>
      <c r="C7" s="8" t="n">
        <v>4</v>
      </c>
      <c r="D7" s="8" t="n">
        <v>4</v>
      </c>
      <c r="E7" s="8" t="n">
        <v>3</v>
      </c>
      <c r="F7" s="8" t="n">
        <v>4</v>
      </c>
      <c r="G7" s="8" t="n">
        <v>4</v>
      </c>
      <c r="H7" s="8" t="n">
        <v>4</v>
      </c>
      <c r="I7" s="8" t="n">
        <v>5</v>
      </c>
      <c r="J7" s="9" t="n">
        <f aca="false">SUMPRODUCT($C$3:$I$3,C7:I7)</f>
        <v>4.05</v>
      </c>
      <c r="K7" s="7" t="s">
        <v>25</v>
      </c>
      <c r="L7" s="6" t="s">
        <v>26</v>
      </c>
    </row>
    <row r="8" customFormat="false" ht="15" hidden="false" customHeight="false" outlineLevel="0" collapsed="false">
      <c r="A8" s="3" t="s">
        <v>27</v>
      </c>
      <c r="B8" s="7" t="s">
        <v>28</v>
      </c>
      <c r="C8" s="8" t="n">
        <v>3</v>
      </c>
      <c r="D8" s="8" t="n">
        <v>4</v>
      </c>
      <c r="E8" s="8" t="n">
        <v>4</v>
      </c>
      <c r="F8" s="8" t="n">
        <v>4</v>
      </c>
      <c r="G8" s="8" t="n">
        <v>4</v>
      </c>
      <c r="H8" s="8" t="n">
        <v>4</v>
      </c>
      <c r="I8" s="8" t="n">
        <v>4</v>
      </c>
      <c r="J8" s="9" t="n">
        <f aca="false">SUMPRODUCT($C$3:$I$3,C8:I8)</f>
        <v>3.85</v>
      </c>
      <c r="K8" s="7" t="s">
        <v>25</v>
      </c>
      <c r="L8" s="3" t="s">
        <v>29</v>
      </c>
    </row>
    <row r="9" customFormat="false" ht="15" hidden="false" customHeight="false" outlineLevel="0" collapsed="false">
      <c r="A9" s="3" t="s">
        <v>30</v>
      </c>
      <c r="B9" s="7" t="s">
        <v>31</v>
      </c>
      <c r="C9" s="8" t="n">
        <v>3</v>
      </c>
      <c r="D9" s="8" t="n">
        <v>4</v>
      </c>
      <c r="E9" s="8" t="n">
        <v>5</v>
      </c>
      <c r="F9" s="8" t="n">
        <v>3</v>
      </c>
      <c r="G9" s="8" t="n">
        <v>4</v>
      </c>
      <c r="H9" s="8" t="n">
        <v>4</v>
      </c>
      <c r="I9" s="8" t="n">
        <v>5</v>
      </c>
      <c r="J9" s="9" t="n">
        <f aca="false">SUMPRODUCT($C$3:$I$3,C9:I9)</f>
        <v>3.95</v>
      </c>
      <c r="K9" s="7" t="s">
        <v>25</v>
      </c>
      <c r="L9" s="3" t="s">
        <v>32</v>
      </c>
    </row>
    <row r="10" customFormat="false" ht="15" hidden="false" customHeight="false" outlineLevel="0" collapsed="false">
      <c r="A10" s="3" t="s">
        <v>33</v>
      </c>
      <c r="B10" s="7" t="s">
        <v>34</v>
      </c>
      <c r="C10" s="8" t="n">
        <v>5</v>
      </c>
      <c r="D10" s="8" t="n">
        <v>3</v>
      </c>
      <c r="E10" s="8" t="n">
        <v>2</v>
      </c>
      <c r="F10" s="8" t="n">
        <v>4</v>
      </c>
      <c r="G10" s="8" t="n">
        <v>3</v>
      </c>
      <c r="H10" s="8" t="n">
        <v>3</v>
      </c>
      <c r="I10" s="8" t="n">
        <v>5</v>
      </c>
      <c r="J10" s="9" t="n">
        <f aca="false">SUMPRODUCT($C$3:$I$3,C10:I10)</f>
        <v>3.65</v>
      </c>
      <c r="K10" s="7" t="s">
        <v>35</v>
      </c>
      <c r="L10" s="3" t="s">
        <v>36</v>
      </c>
    </row>
    <row r="11" customFormat="false" ht="15" hidden="false" customHeight="false" outlineLevel="0" collapsed="false">
      <c r="A11" s="3" t="s">
        <v>37</v>
      </c>
      <c r="B11" s="7" t="s">
        <v>38</v>
      </c>
      <c r="C11" s="8" t="n">
        <v>4</v>
      </c>
      <c r="D11" s="8" t="n">
        <v>3</v>
      </c>
      <c r="E11" s="8" t="n">
        <v>2</v>
      </c>
      <c r="F11" s="8" t="n">
        <v>4</v>
      </c>
      <c r="G11" s="8" t="n">
        <v>3</v>
      </c>
      <c r="H11" s="8" t="n">
        <v>3</v>
      </c>
      <c r="I11" s="8" t="n">
        <v>5</v>
      </c>
      <c r="J11" s="9" t="n">
        <f aca="false">SUMPRODUCT($C$3:$I$3,C11:I11)</f>
        <v>3.5</v>
      </c>
      <c r="K11" s="7" t="s">
        <v>35</v>
      </c>
      <c r="L11" s="3" t="s">
        <v>39</v>
      </c>
    </row>
    <row r="12" customFormat="false" ht="15" hidden="false" customHeight="false" outlineLevel="0" collapsed="false">
      <c r="A12" s="3" t="s">
        <v>40</v>
      </c>
      <c r="B12" s="7" t="s">
        <v>41</v>
      </c>
      <c r="C12" s="8" t="n">
        <v>4</v>
      </c>
      <c r="D12" s="8" t="n">
        <v>3</v>
      </c>
      <c r="E12" s="8" t="n">
        <v>4</v>
      </c>
      <c r="F12" s="8" t="n">
        <v>3</v>
      </c>
      <c r="G12" s="8" t="n">
        <v>4</v>
      </c>
      <c r="H12" s="8" t="n">
        <v>4</v>
      </c>
      <c r="I12" s="8" t="n">
        <v>4</v>
      </c>
      <c r="J12" s="9" t="n">
        <f aca="false">SUMPRODUCT($C$3:$I$3,C12:I12)</f>
        <v>3.7</v>
      </c>
      <c r="K12" s="7" t="s">
        <v>25</v>
      </c>
      <c r="L12" s="3" t="s">
        <v>42</v>
      </c>
    </row>
    <row r="13" customFormat="false" ht="15" hidden="false" customHeight="false" outlineLevel="0" collapsed="false">
      <c r="A13" s="3" t="s">
        <v>43</v>
      </c>
      <c r="B13" s="7" t="s">
        <v>44</v>
      </c>
      <c r="C13" s="8" t="n">
        <v>3</v>
      </c>
      <c r="D13" s="8" t="n">
        <v>3</v>
      </c>
      <c r="E13" s="8" t="n">
        <v>4</v>
      </c>
      <c r="F13" s="8" t="n">
        <v>3</v>
      </c>
      <c r="G13" s="8" t="n">
        <v>4</v>
      </c>
      <c r="H13" s="8" t="n">
        <v>4</v>
      </c>
      <c r="I13" s="8" t="n">
        <v>2</v>
      </c>
      <c r="J13" s="9" t="n">
        <f aca="false">SUMPRODUCT($C$3:$I$3,C13:I13)</f>
        <v>3.25</v>
      </c>
      <c r="K13" s="7" t="s">
        <v>25</v>
      </c>
      <c r="L13" s="3" t="s">
        <v>45</v>
      </c>
    </row>
    <row r="14" customFormat="false" ht="15" hidden="false" customHeight="false" outlineLevel="0" collapsed="false">
      <c r="A14" s="3" t="s">
        <v>46</v>
      </c>
      <c r="B14" s="7" t="s">
        <v>47</v>
      </c>
      <c r="C14" s="8" t="n">
        <v>3</v>
      </c>
      <c r="D14" s="8" t="n">
        <v>3</v>
      </c>
      <c r="E14" s="8" t="n">
        <v>2</v>
      </c>
      <c r="F14" s="8" t="n">
        <v>3</v>
      </c>
      <c r="G14" s="8" t="n">
        <v>3</v>
      </c>
      <c r="H14" s="8" t="n">
        <v>4</v>
      </c>
      <c r="I14" s="8" t="n">
        <v>5</v>
      </c>
      <c r="J14" s="9" t="n">
        <f aca="false">SUMPRODUCT($C$3:$I$3,C14:I14)</f>
        <v>3.4</v>
      </c>
      <c r="K14" s="7" t="s">
        <v>25</v>
      </c>
      <c r="L14" s="3" t="s">
        <v>48</v>
      </c>
    </row>
    <row r="15" customFormat="false" ht="15" hidden="false" customHeight="false" outlineLevel="0" collapsed="false">
      <c r="A15" s="3" t="s">
        <v>49</v>
      </c>
      <c r="B15" s="7" t="s">
        <v>50</v>
      </c>
      <c r="C15" s="8" t="n">
        <v>3</v>
      </c>
      <c r="D15" s="8" t="n">
        <v>4</v>
      </c>
      <c r="E15" s="8" t="n">
        <v>4</v>
      </c>
      <c r="F15" s="8" t="n">
        <v>3</v>
      </c>
      <c r="G15" s="8" t="n">
        <v>2</v>
      </c>
      <c r="H15" s="8" t="n">
        <v>4</v>
      </c>
      <c r="I15" s="8" t="n">
        <v>4</v>
      </c>
      <c r="J15" s="9" t="n">
        <f aca="false">SUMPRODUCT($C$3:$I$3,C15:I15)</f>
        <v>3.5</v>
      </c>
      <c r="K15" s="7" t="s">
        <v>25</v>
      </c>
      <c r="L15" s="3" t="s">
        <v>51</v>
      </c>
    </row>
    <row r="16" customFormat="false" ht="15" hidden="false" customHeight="false" outlineLevel="0" collapsed="false">
      <c r="A16" s="3" t="s">
        <v>52</v>
      </c>
      <c r="B16" s="7" t="s">
        <v>53</v>
      </c>
      <c r="C16" s="8" t="n">
        <v>3</v>
      </c>
      <c r="D16" s="8" t="n">
        <v>3</v>
      </c>
      <c r="E16" s="8" t="n">
        <v>3</v>
      </c>
      <c r="F16" s="8" t="n">
        <v>4</v>
      </c>
      <c r="G16" s="8" t="n">
        <v>4</v>
      </c>
      <c r="H16" s="8" t="n">
        <v>4</v>
      </c>
      <c r="I16" s="8" t="n">
        <v>5</v>
      </c>
      <c r="J16" s="9" t="n">
        <f aca="false">SUMPRODUCT($C$3:$I$3,C16:I16)</f>
        <v>3.75</v>
      </c>
      <c r="K16" s="7" t="s">
        <v>35</v>
      </c>
      <c r="L16" s="3" t="s">
        <v>54</v>
      </c>
    </row>
    <row r="17" customFormat="false" ht="15" hidden="false" customHeight="false" outlineLevel="0" collapsed="false">
      <c r="A17" s="3" t="s">
        <v>55</v>
      </c>
      <c r="B17" s="7" t="s">
        <v>56</v>
      </c>
      <c r="C17" s="8" t="n">
        <v>2</v>
      </c>
      <c r="D17" s="8" t="n">
        <v>3</v>
      </c>
      <c r="E17" s="8" t="n">
        <v>3</v>
      </c>
      <c r="F17" s="8" t="n">
        <v>3</v>
      </c>
      <c r="G17" s="8" t="n">
        <v>4</v>
      </c>
      <c r="H17" s="8" t="n">
        <v>4</v>
      </c>
      <c r="I17" s="8" t="n">
        <v>4</v>
      </c>
      <c r="J17" s="9" t="n">
        <f aca="false">SUMPRODUCT($C$3:$I$3,C17:I17)</f>
        <v>3.3</v>
      </c>
      <c r="K17" s="7" t="s">
        <v>25</v>
      </c>
      <c r="L17" s="3" t="s">
        <v>57</v>
      </c>
    </row>
    <row r="18" customFormat="false" ht="15" hidden="false" customHeight="false" outlineLevel="0" collapsed="false">
      <c r="A18" s="3" t="s">
        <v>58</v>
      </c>
      <c r="B18" s="7" t="s">
        <v>59</v>
      </c>
      <c r="C18" s="8" t="n">
        <v>2</v>
      </c>
      <c r="D18" s="8" t="n">
        <v>3</v>
      </c>
      <c r="E18" s="8" t="n">
        <v>4</v>
      </c>
      <c r="F18" s="8" t="n">
        <v>4</v>
      </c>
      <c r="G18" s="8" t="n">
        <v>4</v>
      </c>
      <c r="H18" s="8" t="n">
        <v>2</v>
      </c>
      <c r="I18" s="8" t="n">
        <v>5</v>
      </c>
      <c r="J18" s="9" t="n">
        <f aca="false">SUMPRODUCT($C$3:$I$3,C18:I18)</f>
        <v>3.3</v>
      </c>
      <c r="K18" s="7" t="s">
        <v>60</v>
      </c>
      <c r="L18" s="3" t="s">
        <v>61</v>
      </c>
    </row>
    <row r="19" customFormat="false" ht="15" hidden="false" customHeight="false" outlineLevel="0" collapsed="false">
      <c r="A19" s="3" t="s">
        <v>62</v>
      </c>
      <c r="B19" s="7" t="s">
        <v>63</v>
      </c>
      <c r="C19" s="8" t="n">
        <v>2</v>
      </c>
      <c r="D19" s="8" t="n">
        <v>3</v>
      </c>
      <c r="E19" s="8" t="n">
        <v>3</v>
      </c>
      <c r="F19" s="8" t="n">
        <v>3</v>
      </c>
      <c r="G19" s="8" t="n">
        <v>4</v>
      </c>
      <c r="H19" s="8" t="n">
        <v>2</v>
      </c>
      <c r="I19" s="8" t="n">
        <v>4</v>
      </c>
      <c r="J19" s="9" t="n">
        <f aca="false">SUMPRODUCT($C$3:$I$3,C19:I19)</f>
        <v>2.9</v>
      </c>
      <c r="K19" s="7" t="s">
        <v>64</v>
      </c>
      <c r="L19" s="3" t="s">
        <v>65</v>
      </c>
    </row>
    <row r="20" customFormat="false" ht="15" hidden="false" customHeight="false" outlineLevel="0" collapsed="false">
      <c r="A20" s="3" t="s">
        <v>66</v>
      </c>
      <c r="B20" s="7" t="s">
        <v>67</v>
      </c>
      <c r="C20" s="8" t="n">
        <v>3</v>
      </c>
      <c r="D20" s="8" t="n">
        <v>3</v>
      </c>
      <c r="E20" s="8" t="n">
        <v>2</v>
      </c>
      <c r="F20" s="8" t="n">
        <v>3</v>
      </c>
      <c r="G20" s="8" t="n">
        <v>3</v>
      </c>
      <c r="H20" s="8" t="n">
        <v>1</v>
      </c>
      <c r="I20" s="8" t="n">
        <v>4</v>
      </c>
      <c r="J20" s="9" t="n">
        <f aca="false">SUMPRODUCT($C$3:$I$3,C20:I20)</f>
        <v>2.65</v>
      </c>
      <c r="K20" s="7" t="s">
        <v>68</v>
      </c>
      <c r="L20" s="3" t="s">
        <v>69</v>
      </c>
    </row>
    <row r="21" customFormat="false" ht="15" hidden="false" customHeight="false" outlineLevel="0" collapsed="false">
      <c r="A21" s="3" t="s">
        <v>70</v>
      </c>
      <c r="B21" s="7" t="s">
        <v>71</v>
      </c>
      <c r="C21" s="8" t="n">
        <v>3</v>
      </c>
      <c r="D21" s="8" t="n">
        <v>3</v>
      </c>
      <c r="E21" s="8" t="n">
        <v>3</v>
      </c>
      <c r="F21" s="8" t="n">
        <v>3</v>
      </c>
      <c r="G21" s="8" t="n">
        <v>4</v>
      </c>
      <c r="H21" s="8" t="n">
        <v>1</v>
      </c>
      <c r="I21" s="8" t="n">
        <v>4</v>
      </c>
      <c r="J21" s="9" t="n">
        <f aca="false">SUMPRODUCT($C$3:$I$3,C21:I21)</f>
        <v>2.85</v>
      </c>
      <c r="K21" s="7" t="s">
        <v>72</v>
      </c>
      <c r="L21" s="10" t="s">
        <v>73</v>
      </c>
    </row>
    <row r="22" customFormat="false" ht="15" hidden="false" customHeight="false" outlineLevel="0" collapsed="false">
      <c r="A22" s="3" t="s">
        <v>74</v>
      </c>
      <c r="B22" s="7" t="s">
        <v>75</v>
      </c>
      <c r="C22" s="8" t="n">
        <v>2</v>
      </c>
      <c r="D22" s="8" t="n">
        <v>4</v>
      </c>
      <c r="E22" s="8" t="n">
        <v>3</v>
      </c>
      <c r="F22" s="8" t="n">
        <v>4</v>
      </c>
      <c r="G22" s="8" t="n">
        <v>4</v>
      </c>
      <c r="H22" s="8" t="n">
        <v>1</v>
      </c>
      <c r="I22" s="8" t="n">
        <v>4</v>
      </c>
      <c r="J22" s="9" t="n">
        <f aca="false">SUMPRODUCT($C$3:$I$3,C22:I22)</f>
        <v>3</v>
      </c>
      <c r="K22" s="7" t="s">
        <v>76</v>
      </c>
      <c r="L22" s="10" t="s">
        <v>77</v>
      </c>
    </row>
    <row r="23" customFormat="false" ht="15" hidden="false" customHeight="false" outlineLevel="0" collapsed="false">
      <c r="A23" s="3" t="s">
        <v>78</v>
      </c>
      <c r="B23" s="7" t="s">
        <v>79</v>
      </c>
      <c r="C23" s="8" t="n">
        <v>2</v>
      </c>
      <c r="D23" s="8" t="n">
        <v>3</v>
      </c>
      <c r="E23" s="8" t="n">
        <v>3</v>
      </c>
      <c r="F23" s="8" t="n">
        <v>3</v>
      </c>
      <c r="G23" s="8" t="n">
        <v>4</v>
      </c>
      <c r="H23" s="8" t="n">
        <v>1</v>
      </c>
      <c r="I23" s="8" t="n">
        <v>4</v>
      </c>
      <c r="J23" s="9" t="n">
        <f aca="false">SUMPRODUCT($C$3:$I$3,C23:I23)</f>
        <v>2.7</v>
      </c>
      <c r="K23" s="7" t="s">
        <v>80</v>
      </c>
      <c r="L23" s="10" t="s">
        <v>81</v>
      </c>
    </row>
    <row r="24" customFormat="false" ht="15" hidden="false" customHeight="false" outlineLevel="0" collapsed="false">
      <c r="A24" s="3" t="s">
        <v>82</v>
      </c>
      <c r="B24" s="7" t="s">
        <v>83</v>
      </c>
      <c r="C24" s="8" t="n">
        <v>1</v>
      </c>
      <c r="D24" s="8" t="n">
        <v>3</v>
      </c>
      <c r="E24" s="8" t="n">
        <v>3</v>
      </c>
      <c r="F24" s="8" t="n">
        <v>2</v>
      </c>
      <c r="G24" s="8" t="n">
        <v>3</v>
      </c>
      <c r="H24" s="8" t="n">
        <v>2</v>
      </c>
      <c r="I24" s="8" t="n">
        <v>3</v>
      </c>
      <c r="J24" s="9" t="n">
        <f aca="false">SUMPRODUCT($C$3:$I$3,C24:I24)</f>
        <v>2.35</v>
      </c>
      <c r="K24" s="7" t="s">
        <v>84</v>
      </c>
      <c r="L24" s="10" t="s">
        <v>85</v>
      </c>
    </row>
    <row r="25" customFormat="false" ht="15" hidden="false" customHeight="false" outlineLevel="0" collapsed="false">
      <c r="A25" s="3" t="s">
        <v>86</v>
      </c>
      <c r="B25" s="7" t="s">
        <v>87</v>
      </c>
      <c r="C25" s="8" t="n">
        <v>1</v>
      </c>
      <c r="D25" s="8" t="n">
        <v>3</v>
      </c>
      <c r="E25" s="8" t="n">
        <v>3</v>
      </c>
      <c r="F25" s="8" t="n">
        <v>2</v>
      </c>
      <c r="G25" s="8" t="n">
        <v>3</v>
      </c>
      <c r="H25" s="8" t="n">
        <v>2</v>
      </c>
      <c r="I25" s="8" t="n">
        <v>3</v>
      </c>
      <c r="J25" s="9" t="n">
        <f aca="false">SUMPRODUCT($C$3:$I$3,C25:I25)</f>
        <v>2.35</v>
      </c>
      <c r="K25" s="7" t="s">
        <v>84</v>
      </c>
      <c r="L25" s="10" t="s">
        <v>85</v>
      </c>
    </row>
    <row r="26" customFormat="false" ht="23.85" hidden="false" customHeight="false" outlineLevel="0" collapsed="false">
      <c r="A26" s="3" t="s">
        <v>88</v>
      </c>
      <c r="B26" s="7" t="s">
        <v>89</v>
      </c>
      <c r="C26" s="8" t="n">
        <v>1</v>
      </c>
      <c r="D26" s="8" t="n">
        <v>4</v>
      </c>
      <c r="E26" s="8" t="n">
        <v>4</v>
      </c>
      <c r="F26" s="8" t="n">
        <v>3</v>
      </c>
      <c r="G26" s="8" t="n">
        <v>2</v>
      </c>
      <c r="H26" s="8" t="n">
        <v>1</v>
      </c>
      <c r="I26" s="8" t="n">
        <v>1</v>
      </c>
      <c r="J26" s="9" t="n">
        <f aca="false">SUMPRODUCT($C$3:$I$3,C26:I26)</f>
        <v>2.15</v>
      </c>
      <c r="K26" s="7" t="s">
        <v>90</v>
      </c>
      <c r="L26" s="1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5" t="s">
        <v>3</v>
      </c>
      <c r="B4" s="5" t="s">
        <v>94</v>
      </c>
      <c r="C4" s="5" t="s">
        <v>95</v>
      </c>
      <c r="D4" s="5" t="s">
        <v>14</v>
      </c>
      <c r="E4" s="5" t="s">
        <v>96</v>
      </c>
    </row>
    <row r="5" customFormat="false" ht="23.85" hidden="false" customHeight="false" outlineLevel="0" collapsed="false">
      <c r="A5" s="7" t="s">
        <v>15</v>
      </c>
      <c r="B5" s="7" t="s">
        <v>97</v>
      </c>
      <c r="C5" s="7" t="s">
        <v>98</v>
      </c>
      <c r="D5" s="7" t="s">
        <v>99</v>
      </c>
      <c r="E5" s="7" t="s">
        <v>100</v>
      </c>
    </row>
    <row r="6" customFormat="false" ht="15" hidden="false" customHeight="false" outlineLevel="0" collapsed="false">
      <c r="A6" s="7" t="s">
        <v>15</v>
      </c>
      <c r="B6" s="7" t="s">
        <v>101</v>
      </c>
      <c r="C6" s="7" t="s">
        <v>102</v>
      </c>
      <c r="D6" s="7" t="s">
        <v>99</v>
      </c>
      <c r="E6" s="7" t="s">
        <v>100</v>
      </c>
    </row>
    <row r="7" customFormat="false" ht="15" hidden="false" customHeight="false" outlineLevel="0" collapsed="false">
      <c r="A7" s="7" t="s">
        <v>19</v>
      </c>
      <c r="B7" s="7" t="s">
        <v>97</v>
      </c>
      <c r="C7" s="7" t="s">
        <v>103</v>
      </c>
      <c r="D7" s="7" t="s">
        <v>99</v>
      </c>
      <c r="E7" s="7" t="s">
        <v>100</v>
      </c>
    </row>
    <row r="8" customFormat="false" ht="15" hidden="false" customHeight="false" outlineLevel="0" collapsed="false">
      <c r="A8" s="7" t="s">
        <v>19</v>
      </c>
      <c r="B8" s="7" t="s">
        <v>104</v>
      </c>
      <c r="C8" s="7" t="s">
        <v>105</v>
      </c>
      <c r="D8" s="7" t="s">
        <v>99</v>
      </c>
      <c r="E8" s="7" t="s">
        <v>100</v>
      </c>
    </row>
    <row r="9" customFormat="false" ht="15" hidden="false" customHeight="false" outlineLevel="0" collapsed="false">
      <c r="A9" s="7" t="s">
        <v>19</v>
      </c>
      <c r="B9" s="7" t="s">
        <v>106</v>
      </c>
      <c r="C9" s="7" t="s">
        <v>107</v>
      </c>
      <c r="D9" s="7" t="s">
        <v>108</v>
      </c>
      <c r="E9" s="7" t="s">
        <v>109</v>
      </c>
    </row>
    <row r="10" customFormat="false" ht="15" hidden="false" customHeight="false" outlineLevel="0" collapsed="false">
      <c r="A10" s="7" t="s">
        <v>19</v>
      </c>
      <c r="B10" s="7" t="s">
        <v>110</v>
      </c>
      <c r="C10" s="7" t="s">
        <v>111</v>
      </c>
      <c r="D10" s="7" t="s">
        <v>99</v>
      </c>
      <c r="E10" s="7" t="s">
        <v>100</v>
      </c>
    </row>
    <row r="11" customFormat="false" ht="15" hidden="false" customHeight="false" outlineLevel="0" collapsed="false">
      <c r="A11" s="7" t="s">
        <v>19</v>
      </c>
      <c r="B11" s="7" t="s">
        <v>112</v>
      </c>
      <c r="C11" s="7" t="s">
        <v>113</v>
      </c>
      <c r="D11" s="7" t="s">
        <v>114</v>
      </c>
      <c r="E11" s="7" t="s">
        <v>115</v>
      </c>
    </row>
    <row r="12" customFormat="false" ht="15" hidden="false" customHeight="false" outlineLevel="0" collapsed="false">
      <c r="A12" s="7" t="s">
        <v>23</v>
      </c>
      <c r="B12" s="7" t="s">
        <v>116</v>
      </c>
      <c r="C12" s="7" t="s">
        <v>117</v>
      </c>
      <c r="D12" s="7" t="s">
        <v>99</v>
      </c>
      <c r="E12" s="7" t="s">
        <v>118</v>
      </c>
    </row>
    <row r="13" customFormat="false" ht="15" hidden="false" customHeight="false" outlineLevel="0" collapsed="false">
      <c r="A13" s="7" t="s">
        <v>27</v>
      </c>
      <c r="B13" s="7" t="s">
        <v>116</v>
      </c>
      <c r="C13" s="7" t="s">
        <v>119</v>
      </c>
      <c r="D13" s="7" t="s">
        <v>99</v>
      </c>
      <c r="E13" s="7" t="s">
        <v>118</v>
      </c>
    </row>
    <row r="14" customFormat="false" ht="15" hidden="false" customHeight="false" outlineLevel="0" collapsed="false">
      <c r="A14" s="10" t="s">
        <v>120</v>
      </c>
      <c r="B14" s="10"/>
      <c r="C14" s="10"/>
      <c r="D14" s="10"/>
      <c r="E14" s="10"/>
    </row>
  </sheetData>
  <mergeCells count="1"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2026-10-10T19:20:22Z</dcterms:created>
  <dc:creator>openpyxl</dc:creator>
  <dc:description/>
  <dc:language>en-US</dc:language>
  <cp:lastModifiedBy/>
  <dcterms:modified xsi:type="dcterms:W3CDTF">2026-10-10T19:20:22Z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