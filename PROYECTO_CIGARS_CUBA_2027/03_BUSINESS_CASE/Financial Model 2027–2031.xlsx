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Assumptions" sheetId="2" state="visible" r:id="rId4"/>
    <sheet name="Product Cost" sheetId="3" state="visible" r:id="rId5"/>
    <sheet name="Import &amp; Taxes" sheetId="4" state="visible" r:id="rId6"/>
    <sheet name="Unit Economics" sheetId="5" state="visible" r:id="rId7"/>
    <sheet name="Sales Forecast" sheetId="6" state="visible" r:id="rId8"/>
    <sheet name="Operating Expenses" sheetId="7" state="visible" r:id="rId9"/>
    <sheet name="Working Capital" sheetId="8" state="visible" r:id="rId10"/>
    <sheet name="Profit &amp; Loss" sheetId="9" state="visible" r:id="rId11"/>
    <sheet name="Cash Flow" sheetId="10" state="visible" r:id="rId12"/>
    <sheet name="Balance Sheet" sheetId="11" state="visible" r:id="rId13"/>
    <sheet name="Break-even" sheetId="12" state="visible" r:id="rId14"/>
    <sheet name="Scenarios" sheetId="13" state="visible" r:id="rId15"/>
    <sheet name="Sensitivity Analysis" sheetId="14" state="visible" r:id="rId16"/>
    <sheet name="Investment Returns" sheetId="15" state="visible" r:id="rId17"/>
    <sheet name="Risk Register" sheetId="16" state="visible" r:id="rId18"/>
    <sheet name="Sources &amp; Validation" sheetId="17" state="visible" r:id="rId19"/>
    <sheet name="Engine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<sst xmlns="http://schemas.openxmlformats.org/spreadsheetml/2006/main" count="1153" uniqueCount="833">
  <si>
    <t xml:space="preserve">ARNALDO — Modelo financiero 2027–2031 · Dashboard ejecutivo</t>
  </si>
  <si>
    <t xml:space="preserve">Proyecto A (marca propia fabricada en Cuba). Condicionado a la confirmación jurídica de la Fase 0. Fecha de corte 10/10/2026.</t>
  </si>
  <si>
    <t xml:space="preserve">Escenario activo (cambiar en Assumptions!C4)</t>
  </si>
  <si>
    <t xml:space="preserve">Indicador</t>
  </si>
  <si>
    <t xml:space="preserve">Valor</t>
  </si>
  <si>
    <t xml:space="preserve">Unidades vendidas 2031</t>
  </si>
  <si>
    <t xml:space="preserve">Ingresos de la marca 2031 (antes de IEE)</t>
  </si>
  <si>
    <t xml:space="preserve">EBITDA 2031</t>
  </si>
  <si>
    <t xml:space="preserve">EBITDA acumulado 2027–2031</t>
  </si>
  <si>
    <t xml:space="preserve">Resultado neto acumulado</t>
  </si>
  <si>
    <t xml:space="preserve">Necesidad máxima de financiación (capital + deuda)</t>
  </si>
  <si>
    <t xml:space="preserve">Capital aportado (Assumptions)</t>
  </si>
  <si>
    <t xml:space="preserve">Financiación ajena máxima requerida</t>
  </si>
  <si>
    <t xml:space="preserve">VAN</t>
  </si>
  <si>
    <t xml:space="preserve">TIR del proyecto (con valor terminal)</t>
  </si>
  <si>
    <t xml:space="preserve">Payback</t>
  </si>
  <si>
    <t xml:space="preserve">Punto muerto EBITDA 2030 (unidades/año)</t>
  </si>
  <si>
    <t xml:space="preserve">Contribución unitaria 2030 (€/u)</t>
  </si>
  <si>
    <t xml:space="preserve">Necesidad de caja de un pedido piloto (Working Capital)</t>
  </si>
  <si>
    <t xml:space="preserve">Control de balance (0 = cuadra)</t>
  </si>
  <si>
    <t xml:space="preserve">Veredicto financiero automático</t>
  </si>
  <si>
    <t xml:space="preserve">Veredicto jurídico (no calculable)</t>
  </si>
  <si>
    <t xml:space="preserve">BLOQUEADO hasta confirmar por escrito la vía legal de fabricación y exportación en Cuba (Fase 0)</t>
  </si>
  <si>
    <t xml:space="preserve">Comparativa</t>
  </si>
  <si>
    <t xml:space="preserve">Conservador</t>
  </si>
  <si>
    <t xml:space="preserve">Base</t>
  </si>
  <si>
    <t xml:space="preserve">Optimista</t>
  </si>
  <si>
    <t xml:space="preserve">Estrés</t>
  </si>
  <si>
    <t xml:space="preserve">VAN (tasa de 'Assumptions')</t>
  </si>
  <si>
    <t xml:space="preserve">Payback (año)</t>
  </si>
  <si>
    <t xml:space="preserve">Punto muerto EBITDA 2030 (unidades)</t>
  </si>
  <si>
    <t xml:space="preserve">Serie gráfica: EBITDA escenario activo</t>
  </si>
  <si>
    <t xml:space="preserve">Supuestos del modelo — Proyecto A (marca propia ARNALDO)</t>
  </si>
  <si>
    <t xml:space="preserve">Todos los valores en azul son editables. Estados: VERIFICADO / PROBABLE / HIPÓTESIS / BLOQUEADO. Fuentes en 'Sources &amp; Validation'. Fecha de corte: 10/10/2026.</t>
  </si>
  <si>
    <t xml:space="preserve">Supuesto editable (input)</t>
  </si>
  <si>
    <t xml:space="preserve">Fórmula</t>
  </si>
  <si>
    <t xml:space="preserve">Resultado clave</t>
  </si>
  <si>
    <t xml:space="preserve">Alerta / bloqueo</t>
  </si>
  <si>
    <t xml:space="preserve">Escenario seleccionado (1=Conservador, 2=Base, 3=Optimista, 4=Estrés)</t>
  </si>
  <si>
    <t xml:space="preserve">1. Parámetros generales</t>
  </si>
  <si>
    <t xml:space="preserve">Parámetro</t>
  </si>
  <si>
    <t xml:space="preserve">Unidad</t>
  </si>
  <si>
    <t xml:space="preserve">Estado</t>
  </si>
  <si>
    <t xml:space="preserve">Fuente / nota</t>
  </si>
  <si>
    <t xml:space="preserve">Primer año del modelo</t>
  </si>
  <si>
    <t xml:space="preserve">año</t>
  </si>
  <si>
    <t xml:space="preserve">HIPÓTESIS</t>
  </si>
  <si>
    <t xml:space="preserve">Calendario del promotor</t>
  </si>
  <si>
    <t xml:space="preserve">Capital aportado por el promotor (año 1)</t>
  </si>
  <si>
    <t xml:space="preserve">€</t>
  </si>
  <si>
    <t xml:space="preserve">Comparar 15k–100k en 'Scenarios'</t>
  </si>
  <si>
    <t xml:space="preserve">IVA tipo general</t>
  </si>
  <si>
    <t xml:space="preserve">%</t>
  </si>
  <si>
    <t xml:space="preserve">VERIFICADO</t>
  </si>
  <si>
    <t xml:space="preserve">Ley 37/1992</t>
  </si>
  <si>
    <t xml:space="preserve">Impuesto especial cigarros: tipo ad valorem sobre PVP</t>
  </si>
  <si>
    <t xml:space="preserve">S14</t>
  </si>
  <si>
    <t xml:space="preserve">Impuesto especial cigarros: mínimo</t>
  </si>
  <si>
    <t xml:space="preserve">€/1.000 u</t>
  </si>
  <si>
    <t xml:space="preserve">Margen del expendedor sobre PVP (cigarros)</t>
  </si>
  <si>
    <t xml:space="preserve">PROBABLE</t>
  </si>
  <si>
    <t xml:space="preserve">S15 (confirmar texto consolidado)</t>
  </si>
  <si>
    <t xml:space="preserve">Derecho arancelario UE 2402 10 00 (origen Cuba, sin preferencia)</t>
  </si>
  <si>
    <t xml:space="preserve">% CIF</t>
  </si>
  <si>
    <t xml:space="preserve">S32 (confirmar TARIC)</t>
  </si>
  <si>
    <t xml:space="preserve">Seguro de transporte</t>
  </si>
  <si>
    <t xml:space="preserve">% valor</t>
  </si>
  <si>
    <t xml:space="preserve">Cotizar con transitario</t>
  </si>
  <si>
    <t xml:space="preserve">Marcas fiscales + identificador único trazabilidad</t>
  </si>
  <si>
    <t xml:space="preserve">€/u</t>
  </si>
  <si>
    <t xml:space="preserve">S27, S28 (coste a confirmar con FNMT/emisor)</t>
  </si>
  <si>
    <t xml:space="preserve">Despacho aduanero + agente + inspección por envío</t>
  </si>
  <si>
    <t xml:space="preserve">€/envío</t>
  </si>
  <si>
    <t xml:space="preserve">Cotizar agente de aduanas</t>
  </si>
  <si>
    <t xml:space="preserve">Envíos (importaciones) por año con actividad</t>
  </si>
  <si>
    <t xml:space="preserve">nº</t>
  </si>
  <si>
    <t xml:space="preserve">Política de compras</t>
  </si>
  <si>
    <t xml:space="preserve">Tipo de cambio USD por EUR</t>
  </si>
  <si>
    <t xml:space="preserve">USD/€</t>
  </si>
  <si>
    <t xml:space="preserve">Si la fábrica cotiza en EUR, poner 1,00</t>
  </si>
  <si>
    <t xml:space="preserve">Unidades por caja</t>
  </si>
  <si>
    <t xml:space="preserve">u</t>
  </si>
  <si>
    <t xml:space="preserve">Formato propuesto</t>
  </si>
  <si>
    <t xml:space="preserve">Cajas vendidas por punto de venta activo y año</t>
  </si>
  <si>
    <t xml:space="preserve">cajas</t>
  </si>
  <si>
    <t xml:space="preserve">Benchmark interno; validar con estancos especialistas</t>
  </si>
  <si>
    <t xml:space="preserve">Cobertura de stock objetivo a cierre de año</t>
  </si>
  <si>
    <t xml:space="preserve">meses</t>
  </si>
  <si>
    <t xml:space="preserve">Maduración + plazo de reposición</t>
  </si>
  <si>
    <t xml:space="preserve">Pago anticipado a la fábrica al pedido</t>
  </si>
  <si>
    <t xml:space="preserve">Habitual en contrapartes estatales cubanas; negociar</t>
  </si>
  <si>
    <t xml:space="preserve">Cobro al distribuidor</t>
  </si>
  <si>
    <t xml:space="preserve">días</t>
  </si>
  <si>
    <t xml:space="preserve">Negociar con distribuidor habilitado</t>
  </si>
  <si>
    <t xml:space="preserve">Pago a proveedores de gastos generales</t>
  </si>
  <si>
    <t xml:space="preserve">IEE pagado al importar (1) o diferido en depósito fiscal (0)</t>
  </si>
  <si>
    <t xml:space="preserve">1/0</t>
  </si>
  <si>
    <t xml:space="preserve">Conservador = 1</t>
  </si>
  <si>
    <t xml:space="preserve">Fracción anual de IVA pendiente a cierre (liquidación trimestral)</t>
  </si>
  <si>
    <t xml:space="preserve">fracción</t>
  </si>
  <si>
    <t xml:space="preserve">Royalty a Arnaldo por nombre/firma (% ingresos de la marca antes de IEE)</t>
  </si>
  <si>
    <t xml:space="preserve">0% = opción B (sólo equity, recomendada). Opción A: 2% → VAN Optimista −4.561 € y TIR 16,4% (cálculo 10/10/2026)</t>
  </si>
  <si>
    <t xml:space="preserve">Participación de Arnaldo en la SL (opción B, con vesting)</t>
  </si>
  <si>
    <t xml:space="preserve">Acuerdo con Arnaldo; reparto de valor, no coste</t>
  </si>
  <si>
    <t xml:space="preserve">Impuesto sobre Sociedades (España)</t>
  </si>
  <si>
    <t xml:space="preserve">N04 (15% nueva creación no aplicado: conservador)</t>
  </si>
  <si>
    <t xml:space="preserve">Coste de la financiación ajena (déficit de caja)</t>
  </si>
  <si>
    <t xml:space="preserve">Póliza / préstamo socio</t>
  </si>
  <si>
    <t xml:space="preserve">Caja mínima operativa</t>
  </si>
  <si>
    <t xml:space="preserve">Vida útil intangibles (marca, diseño)</t>
  </si>
  <si>
    <t xml:space="preserve">años</t>
  </si>
  <si>
    <t xml:space="preserve">Tasa de descuento (riesgo alto, no cotizada)</t>
  </si>
  <si>
    <t xml:space="preserve">Prima por riesgo país/regulatorio</t>
  </si>
  <si>
    <t xml:space="preserve">Múltiplo EV/EBITDA en 2031 (valor terminal)</t>
  </si>
  <si>
    <t xml:space="preserve">x</t>
  </si>
  <si>
    <t xml:space="preserve">Conservador para marca pequeña</t>
  </si>
  <si>
    <t xml:space="preserve">2. Parámetros por escenario</t>
  </si>
  <si>
    <t xml:space="preserve">Seleccionado</t>
  </si>
  <si>
    <t xml:space="preserve">PVP por unidad (IVA e IEE incluidos)</t>
  </si>
  <si>
    <t xml:space="preserve">Benchmarks S37/S38: Partagás D4 ≈21,20 €; Montecristo No.2 21,80 €; Davidoff Puro Dominicano 15,50 €. Ver rejilla 12–35 € en Unit Economics</t>
  </si>
  <si>
    <t xml:space="preserve">Precio de fabricación FOB/FCA por unidad (sin cotización)</t>
  </si>
  <si>
    <t xml:space="preserve">USD/u</t>
  </si>
  <si>
    <t xml:space="preserve">BLOQUEADO</t>
  </si>
  <si>
    <t xml:space="preserve">Requiere cotización formal del fabricante/exportador</t>
  </si>
  <si>
    <t xml:space="preserve">Factor sobre coste de packaging base ('Product Cost')</t>
  </si>
  <si>
    <t xml:space="preserve">Control de calidad en origen (inspección, catas, laboratorio)</t>
  </si>
  <si>
    <t xml:space="preserve">Flete internacional + manipulación hasta almacén</t>
  </si>
  <si>
    <t xml:space="preserve">Aéreo en lotes pequeños</t>
  </si>
  <si>
    <t xml:space="preserve">Honorario técnico de Arnaldo (pagado vía entidad autorizada)</t>
  </si>
  <si>
    <t xml:space="preserve">Forma legal de pago sin confirmar</t>
  </si>
  <si>
    <t xml:space="preserve">Tarifa del distribuidor mayorista habilitado</t>
  </si>
  <si>
    <t xml:space="preserve">% PVP</t>
  </si>
  <si>
    <t xml:space="preserve">Negociable; no regulada</t>
  </si>
  <si>
    <t xml:space="preserve">Merma y rechazos post-importación</t>
  </si>
  <si>
    <t xml:space="preserve">% compras</t>
  </si>
  <si>
    <t xml:space="preserve">Muestras profesionales (sujetas a impuestos)</t>
  </si>
  <si>
    <t xml:space="preserve">% ventas</t>
  </si>
  <si>
    <t xml:space="preserve">Sólo B2B: sin promoción al consumidor</t>
  </si>
  <si>
    <t xml:space="preserve">Plazo pedido→llegada a España</t>
  </si>
  <si>
    <t xml:space="preserve">Año a partir del cual se bloquea el suministro</t>
  </si>
  <si>
    <t xml:space="preserve">9999 = sin bloqueo</t>
  </si>
  <si>
    <t xml:space="preserve">Factor sobre gastos fijos base ('Operating Expenses')</t>
  </si>
  <si>
    <t xml:space="preserve">Optimista: más esfuerzo comercial</t>
  </si>
  <si>
    <t xml:space="preserve">Coste de producto — desglose de packaging y coste en destino</t>
  </si>
  <si>
    <t xml:space="preserve">Packaging base por unidad (escenario Base). Los escenarios aplican el factor de 'Assumptions'. Todos los importes sin IVA.</t>
  </si>
  <si>
    <t xml:space="preserve">Componente (caja de 10 u)</t>
  </si>
  <si>
    <t xml:space="preserve">Coste por caja (€)</t>
  </si>
  <si>
    <t xml:space="preserve">Coste por unidad (€)</t>
  </si>
  <si>
    <t xml:space="preserve">Nota</t>
  </si>
  <si>
    <t xml:space="preserve">Caja de cedro español macizo con bisagra y cierre</t>
  </si>
  <si>
    <t xml:space="preserve">caja</t>
  </si>
  <si>
    <t xml:space="preserve">Cotizar en Cuba (fabricación local) y en España</t>
  </si>
  <si>
    <t xml:space="preserve">Anilla principal (papel algodón, stamping oro, relieve)</t>
  </si>
  <si>
    <t xml:space="preserve">0,12 €/u en tiradas ≥10.000</t>
  </si>
  <si>
    <t xml:space="preserve">Pie de anilla / numeración de pliego</t>
  </si>
  <si>
    <t xml:space="preserve">Hoja de cedro interior + papel de seda</t>
  </si>
  <si>
    <t xml:space="preserve">Colofón impreso numerado (tarjeta interior)</t>
  </si>
  <si>
    <t xml:space="preserve">Elemento de trazabilidad de lote</t>
  </si>
  <si>
    <t xml:space="preserve">Etiquetado de advertencias sanitarias (laterales/tapa)</t>
  </si>
  <si>
    <t xml:space="preserve">Diseño conforme RD 579/2017</t>
  </si>
  <si>
    <t xml:space="preserve">Precinto de garantía de la marca (no fiscal)</t>
  </si>
  <si>
    <t xml:space="preserve">No imita sellos de Habanos</t>
  </si>
  <si>
    <t xml:space="preserve">Retractilado + cartón exterior de expedición (prorrata)</t>
  </si>
  <si>
    <t xml:space="preserve">TOTAL packaging base</t>
  </si>
  <si>
    <t xml:space="preserve">Coste en destino por unidad — escenario seleccionado (lee del motor)</t>
  </si>
  <si>
    <t xml:space="preserve">Concepto (€/u)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</si>
  <si>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</si>
  <si>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</si>
  <si>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</si>
  <si>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</si>
  <si>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</si>
  <si>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Fabricación FOB (€)</t>
  </si>
  <si>
    <t xml:space="preserve">Packaging</t>
  </si>
  <si>
    <t xml:space="preserve">Valor CIF (incl. QC, flete, seguro)</t>
  </si>
  <si>
    <t xml:space="preserve">Arancel</t>
  </si>
  <si>
    <t xml:space="preserve">Coste en destino (incl. marcas fiscales y honorario técnico)</t>
  </si>
  <si>
    <t xml:space="preserve">Impuesto especial por unidad</t>
  </si>
  <si>
    <t xml:space="preserve">Contribución por unidad vendida</t>
  </si>
  <si>
    <t xml:space="preserve">Coste en destino por caja de 10 (2028)</t>
  </si>
  <si>
    <t xml:space="preserve">Importación y fiscalidad — simulación de un envío (DUA) y reparto del PVP</t>
  </si>
  <si>
    <t xml:space="preserve">Escenario seleccionado. El IVA de importación es recuperable (impacto de caja, no de coste). Base IVA importación = valor en aduana + arancel + IEE.</t>
  </si>
  <si>
    <t xml:space="preserve">Unidades del envío</t>
  </si>
  <si>
    <t xml:space="preserve">Valor en aduana (CIF) por unidad</t>
  </si>
  <si>
    <t xml:space="preserve">Valor en aduana del envío</t>
  </si>
  <si>
    <t xml:space="preserve">Derecho arancelario</t>
  </si>
  <si>
    <t xml:space="preserve">Impuesto especial (si se paga al importar)</t>
  </si>
  <si>
    <t xml:space="preserve">Base imponible IVA importación</t>
  </si>
  <si>
    <t xml:space="preserve">IVA de importación (recuperable)</t>
  </si>
  <si>
    <t xml:space="preserve">Despacho y agente de aduanas</t>
  </si>
  <si>
    <t xml:space="preserve">PAGO TOTAL EN FRONTERA</t>
  </si>
  <si>
    <t xml:space="preserve">  de ello, coste definitivo (arancel + despacho)</t>
  </si>
  <si>
    <t xml:space="preserve">  de ello, impuesto recuperable vía precio de venta (IEE)</t>
  </si>
  <si>
    <t xml:space="preserve">  de ello, IVA recuperable vía liquidación (≈1 trimestre)</t>
  </si>
  <si>
    <t xml:space="preserve">Reparto del PVP de una unidad (año 2028, escenario seleccionado)</t>
  </si>
  <si>
    <t xml:space="preserve">Destino del PVP</t>
  </si>
  <si>
    <t xml:space="preserve">IVA (Hacienda)</t>
  </si>
  <si>
    <t xml:space="preserve">Impuesto especial (Hacienda)</t>
  </si>
  <si>
    <t xml:space="preserve">Margen expendedor</t>
  </si>
  <si>
    <t xml:space="preserve">Tarifa distribuidor</t>
  </si>
  <si>
    <t xml:space="preserve">Arancel (Hacienda UE)</t>
  </si>
  <si>
    <t xml:space="preserve">Fabricación, packaging, QC, flete, seguro</t>
  </si>
  <si>
    <t xml:space="preserve">Marcas fiscales + honorario técnico</t>
  </si>
  <si>
    <t xml:space="preserve">Merma y muestras (coste + IEE)</t>
  </si>
  <si>
    <t xml:space="preserve">Royalty de nombre a Arnaldo</t>
  </si>
  <si>
    <t xml:space="preserve">Contribución de la marca (antes de gastos fijos)</t>
  </si>
  <si>
    <t xml:space="preserve">Control: suma = PVP</t>
  </si>
  <si>
    <t xml:space="preserve">Economía unitaria por nivel de PVP (costes del escenario seleccionado, año 2028)</t>
  </si>
  <si>
    <t xml:space="preserve">Cada columna recalcula impuestos y márgenes para el PVP indicado. Las cifras del distribuidor, expendedor y marca se separan explícitamente.</t>
  </si>
  <si>
    <t xml:space="preserve">PVP 12 €</t>
  </si>
  <si>
    <t xml:space="preserve">PVP 15 €</t>
  </si>
  <si>
    <t xml:space="preserve">PVP 18 €</t>
  </si>
  <si>
    <t xml:space="preserve">PVP 20 €</t>
  </si>
  <si>
    <t xml:space="preserve">PVP 25 €</t>
  </si>
  <si>
    <t xml:space="preserve">PVP 30 €</t>
  </si>
  <si>
    <t xml:space="preserve">PVP 35 €</t>
  </si>
  <si>
    <t xml:space="preserve">PVP (input)</t>
  </si>
  <si>
    <t xml:space="preserve">IVA incluido en PVP</t>
  </si>
  <si>
    <t xml:space="preserve">Impuesto especial (15,8% PVP, mín. 0,047 €)</t>
  </si>
  <si>
    <t xml:space="preserve">Ingreso de la marca antes de IEE</t>
  </si>
  <si>
    <t xml:space="preserve">Ingreso de la marca neto de IEE</t>
  </si>
  <si>
    <t xml:space="preserve">Coste en destino (sin IEE)</t>
  </si>
  <si>
    <t xml:space="preserve">CONTRIBUCIÓN por unidad (tras royalty Arnaldo)</t>
  </si>
  <si>
    <t xml:space="preserve">Margen de contribución sobre ingreso neto de IEE</t>
  </si>
  <si>
    <t xml:space="preserve">Contribución sobre PVP</t>
  </si>
  <si>
    <t xml:space="preserve">FOB máximo (USD) para contribución ≥ 25% del ingreso neto</t>
  </si>
  <si>
    <t xml:space="preserve">Lectura: el Estado (IVA+IEE+arancel) captura ~35-40% del PVP; el canal (expendedor+distribuidor) ~14%. La marca debe pagar fábrica, logística y estructura con el resto.</t>
  </si>
  <si>
    <t xml:space="preserve">Previsión de demanda (unidades) por escenario</t>
  </si>
  <si>
    <t xml:space="preserve">Demanda B2B a través del canal legal (distribuidor habilitado → expendedurías). 2027 = año de habilitaciones, sin ventas.</t>
  </si>
  <si>
    <t xml:space="preserve">Escenario</t>
  </si>
  <si>
    <t xml:space="preserve">Total</t>
  </si>
  <si>
    <t xml:space="preserve">Estrés (demanda; suministro bloqueado desde 2029)</t>
  </si>
  <si>
    <t xml:space="preserve">Escenario seleccionado — volumen derivado y esfuerzo comercial</t>
  </si>
  <si>
    <t xml:space="preserve">Concepto</t>
  </si>
  <si>
    <t xml:space="preserve">Unidades vendidas</t>
  </si>
  <si>
    <t xml:space="preserve">Unidades importadas</t>
  </si>
  <si>
    <t xml:space="preserve">Stock final (unidades)</t>
  </si>
  <si>
    <t xml:space="preserve">Cajas vendidas</t>
  </si>
  <si>
    <t xml:space="preserve">Puntos de venta activos necesarios</t>
  </si>
  <si>
    <t xml:space="preserve">Ventas a PVP (consumidor)</t>
  </si>
  <si>
    <t xml:space="preserve">Gastos operativos fijos y CAPEX (escenario Base, € sin IVA)</t>
  </si>
  <si>
    <t xml:space="preserve">El motor multiplica el total por el factor de escenario. 'Remuneración del promotor' = 0: el modelo muestra el resultado ANTES de retribuir al gestor.</t>
  </si>
  <si>
    <t xml:space="preserve">Partida</t>
  </si>
  <si>
    <t xml:space="preserve">Due diligence jurídica Cuba (Fase 0) — abogado cubano + español</t>
  </si>
  <si>
    <t xml:space="preserve">Asesoría jurídica España: contratos, sociedad, propiedad intelectual</t>
  </si>
  <si>
    <t xml:space="preserve">Habilitación CMT, notificación EU-CEG, gestión regulatoria</t>
  </si>
  <si>
    <t xml:space="preserve">Gestoría, contabilidad, auditoría ligera</t>
  </si>
  <si>
    <t xml:space="preserve">Seguros (RC producto, mercancía en almacén)</t>
  </si>
  <si>
    <t xml:space="preserve">Almacén climatizado / depósito (3PL)</t>
  </si>
  <si>
    <t xml:space="preserve">Viajes a Cuba (negociación, control de calidad)</t>
  </si>
  <si>
    <t xml:space="preserve">Desarrollo comercial B2B (ferias profesionales, logística de muestras)</t>
  </si>
  <si>
    <t xml:space="preserve">Software, trazabilidad, registros</t>
  </si>
  <si>
    <t xml:space="preserve">Renovaciones y vigilancia de marcas</t>
  </si>
  <si>
    <t xml:space="preserve">Remuneración del promotor (no incluida)</t>
  </si>
  <si>
    <t xml:space="preserve">Imprevistos (% sobre el subtotal)</t>
  </si>
  <si>
    <t xml:space="preserve">TOTAL GASTOS FIJOS (base)</t>
  </si>
  <si>
    <t xml:space="preserve">CAPEX intangible (amortizable)</t>
  </si>
  <si>
    <t xml:space="preserve">Registro de marcas: EUIPO clase 34 + Cuba (OCPI vía agente) + vigilancia</t>
  </si>
  <si>
    <t xml:space="preserve">Diseño de identidad, artes finales, troqueles y planchas</t>
  </si>
  <si>
    <t xml:space="preserve">TOTAL CAPEX</t>
  </si>
  <si>
    <t xml:space="preserve">Capital circulante y desajuste temporal de caja</t>
  </si>
  <si>
    <t xml:space="preserve">Parte 1: saldos anuales. Parte 2: ciclo de caja mensual de un pedido (anticipo a Cuba → producción → transporte → frontera → ventas → cobro).</t>
  </si>
  <si>
    <t xml:space="preserve">Existencias</t>
  </si>
  <si>
    <t xml:space="preserve">IEE anticipado sobre existencias</t>
  </si>
  <si>
    <t xml:space="preserve">Anticipos a fábrica</t>
  </si>
  <si>
    <t xml:space="preserve">Clientes</t>
  </si>
  <si>
    <t xml:space="preserve">Hacienda deudora IVA</t>
  </si>
  <si>
    <t xml:space="preserve">(-) Proveedores</t>
  </si>
  <si>
    <t xml:space="preserve">(-) Hacienda acreedora IVA</t>
  </si>
  <si>
    <t xml:space="preserve">CAPITAL CIRCULANTE NETO</t>
  </si>
  <si>
    <t xml:space="preserve">Variación</t>
  </si>
  <si>
    <t xml:space="preserve">Parte 2 — Ciclo de caja de un pedido (meses desde el pedido)</t>
  </si>
  <si>
    <t xml:space="preserve">Unidades del pedido</t>
  </si>
  <si>
    <t xml:space="preserve">Meses de venta del lote tras llegada (incl. 1 mes de publicación de PVP en BOE)</t>
  </si>
  <si>
    <t xml:space="preserve">Incluir gastos fijos mensuales (1=sí)</t>
  </si>
  <si>
    <t xml:space="preserve">Plazo pedido→llegada (meses, escenario)</t>
  </si>
  <si>
    <t xml:space="preserve">Retraso de cobro (meses) = DSO/30</t>
  </si>
  <si>
    <t xml:space="preserve">Mes</t>
  </si>
  <si>
    <t xml:space="preserve">Anticipo a fábrica</t>
  </si>
  <si>
    <t xml:space="preserve">Saldo a fábrica antes de embarque</t>
  </si>
  <si>
    <t xml:space="preserve">Flete y seguro</t>
  </si>
  <si>
    <t xml:space="preserve">Arancel + despacho en frontera</t>
  </si>
  <si>
    <t xml:space="preserve">IEE (en frontera si se paga al importar; si no, al vender)</t>
  </si>
  <si>
    <t xml:space="preserve">IVA de importación pagado</t>
  </si>
  <si>
    <t xml:space="preserve">Devolución/compensación IVA importación (+3 meses)</t>
  </si>
  <si>
    <t xml:space="preserve">Cobros del distribuidor (netos de IVA repercutido)</t>
  </si>
  <si>
    <t xml:space="preserve">Gastos fijos mensuales</t>
  </si>
  <si>
    <t xml:space="preserve">Flujo neto del mes</t>
  </si>
  <si>
    <t xml:space="preserve">Caja acumulada del pedido</t>
  </si>
  <si>
    <t xml:space="preserve">Necesidad máxima de caja del ciclo (−mínimo acumulado)</t>
  </si>
  <si>
    <t xml:space="preserve">Mes en que se alcanza</t>
  </si>
  <si>
    <t xml:space="preserve">Meses entre el primer pago a Cuba y el primer cobro</t>
  </si>
  <si>
    <t xml:space="preserve">Nota: los cobros usan el ingreso neto unitario de 2029 del escenario; el ciclo ilustra el desajuste anticipo→cobro, no sustituye al modelo anual.</t>
  </si>
  <si>
    <t xml:space="preserve">Cuenta de resultados 2027–2031 (escenario seleccionado)</t>
  </si>
  <si>
    <t xml:space="preserve">€ sin IVA. Los importes del consumidor y del canal se muestran para separar ingresos de marca, distribuidor y detallista.</t>
  </si>
  <si>
    <t xml:space="preserve">Ventas a PVP con IVA (gasto del consumidor, informativo)</t>
  </si>
  <si>
    <t xml:space="preserve">Ventas a PVP sin IVA</t>
  </si>
  <si>
    <t xml:space="preserve">(-) Margen del expendedor (ingreso del detallista)</t>
  </si>
  <si>
    <t xml:space="preserve">(-) Tarifa del distribuidor (ingreso del mayorista)</t>
  </si>
  <si>
    <t xml:space="preserve">INGRESOS DE LA MARCA (antes de IEE)</t>
  </si>
  <si>
    <t xml:space="preserve">(-) Impuesto especial</t>
  </si>
  <si>
    <t xml:space="preserve">Ingresos netos de impuestos</t>
  </si>
  <si>
    <t xml:space="preserve">(-) Coste de ventas</t>
  </si>
  <si>
    <t xml:space="preserve">(-) Despachos aduaneros</t>
  </si>
  <si>
    <t xml:space="preserve">(-) Royalty de nombre a Arnaldo</t>
  </si>
  <si>
    <t xml:space="preserve">MARGEN BRUTO</t>
  </si>
  <si>
    <t xml:space="preserve">(-) Gastos fijos</t>
  </si>
  <si>
    <t xml:space="preserve">EBITDA</t>
  </si>
  <si>
    <t xml:space="preserve">(-) Amortización</t>
  </si>
  <si>
    <t xml:space="preserve">EBIT</t>
  </si>
  <si>
    <t xml:space="preserve">(-) Gastos financieros</t>
  </si>
  <si>
    <t xml:space="preserve">Resultado antes de impuestos</t>
  </si>
  <si>
    <t xml:space="preserve">(-) Impuesto sobre Sociedades</t>
  </si>
  <si>
    <t xml:space="preserve">RESULTADO NETO</t>
  </si>
  <si>
    <t xml:space="preserve">Margen bruto / ingresos netos de impuestos</t>
  </si>
  <si>
    <t xml:space="preserve">Margen EBITDA / ingresos de la marca</t>
  </si>
  <si>
    <t xml:space="preserve">Estado de flujos de caja 2027–2031 (escenario seleccionado)</t>
  </si>
  <si>
    <t xml:space="preserve">Método indirecto. La financiación ajena se dimensiona automáticamente para mantener la caja mínima (no circular).</t>
  </si>
  <si>
    <t xml:space="preserve">Resultado neto</t>
  </si>
  <si>
    <t xml:space="preserve">(+) Amortización</t>
  </si>
  <si>
    <t xml:space="preserve">Variación del circulante (aumento = consumo de caja; se resta)</t>
  </si>
  <si>
    <t xml:space="preserve">FLUJO DE EXPLOTACIÓN</t>
  </si>
  <si>
    <t xml:space="preserve">FLUJO DE INVERSIÓN</t>
  </si>
  <si>
    <t xml:space="preserve">Aportación de capital</t>
  </si>
  <si>
    <t xml:space="preserve">Disposición / (devolución) de financiación ajena</t>
  </si>
  <si>
    <t xml:space="preserve">VARIACIÓN NETA DE CAJA</t>
  </si>
  <si>
    <t xml:space="preserve">Caja final</t>
  </si>
  <si>
    <t xml:space="preserve">Saldo de financiación ajena necesaria</t>
  </si>
  <si>
    <t xml:space="preserve">Flujo de caja libre del proyecto</t>
  </si>
  <si>
    <t xml:space="preserve">FCF acumulado</t>
  </si>
  <si>
    <t xml:space="preserve">Control: caja final − caja inicial − variación neta</t>
  </si>
  <si>
    <t xml:space="preserve">Balance simplificado a 31/12 (escenario seleccionado)</t>
  </si>
  <si>
    <t xml:space="preserve">ACTIVO</t>
  </si>
  <si>
    <t xml:space="preserve">Intangible neto (marcas, diseño)</t>
  </si>
  <si>
    <t xml:space="preserve">Tesorería</t>
  </si>
  <si>
    <t xml:space="preserve">TOTAL ACTIVO</t>
  </si>
  <si>
    <t xml:space="preserve">PATRIMONIO NETO Y PASIVO</t>
  </si>
  <si>
    <t xml:space="preserve">Capital</t>
  </si>
  <si>
    <t xml:space="preserve">Resultados acumulados</t>
  </si>
  <si>
    <t xml:space="preserve">PATRIMONIO NETO</t>
  </si>
  <si>
    <t xml:space="preserve">Financiación ajena</t>
  </si>
  <si>
    <t xml:space="preserve">Proveedores</t>
  </si>
  <si>
    <t xml:space="preserve">Hacienda acreedora IVA</t>
  </si>
  <si>
    <t xml:space="preserve">TOTAL PN + PASIVO</t>
  </si>
  <si>
    <t xml:space="preserve">CONTROL (debe ser 0)</t>
  </si>
  <si>
    <t xml:space="preserve">Punto muerto (escenario seleccionado)</t>
  </si>
  <si>
    <t xml:space="preserve">Unidades/año necesarias para cubrir gastos fijos con la contribución unitaria del año.</t>
  </si>
  <si>
    <t xml:space="preserve">Contribución por unidad vendida (€)</t>
  </si>
  <si>
    <t xml:space="preserve">Gastos fijos + despachos (€)</t>
  </si>
  <si>
    <t xml:space="preserve">Punto muerto EBITDA (unidades)</t>
  </si>
  <si>
    <t xml:space="preserve">Punto muerto EBIT (unidades)</t>
  </si>
  <si>
    <t xml:space="preserve">Cobertura (ventas / punto muerto EBITDA)</t>
  </si>
  <si>
    <t xml:space="preserve">Cajas/año para punto muerto EBITDA</t>
  </si>
  <si>
    <t xml:space="preserve">Puntos de venta necesarios para el punto muerto</t>
  </si>
  <si>
    <t xml:space="preserve">Comparativa de escenarios y adecuación del capital</t>
  </si>
  <si>
    <t xml:space="preserve">Todas las cifras leen directamente del motor (mismas fórmulas para los 4 escenarios).</t>
  </si>
  <si>
    <t xml:space="preserve">Métrica</t>
  </si>
  <si>
    <t xml:space="preserve">Unidades vendidas 2027–2031</t>
  </si>
  <si>
    <t xml:space="preserve">Ingresos de la marca 2027–2031 (antes de IEE)</t>
  </si>
  <si>
    <t xml:space="preserve">Ingresos netos de impuestos 2031</t>
  </si>
  <si>
    <t xml:space="preserve">EBITDA 2028</t>
  </si>
  <si>
    <t xml:space="preserve">EBITDA 2029</t>
  </si>
  <si>
    <t xml:space="preserve">EBITDA 2030</t>
  </si>
  <si>
    <t xml:space="preserve">FCF acumulado 2027–2031</t>
  </si>
  <si>
    <t xml:space="preserve">Financiación ajena máxima con el capital de 'Assumptions'</t>
  </si>
  <si>
    <t xml:space="preserve">ROIC 2031</t>
  </si>
  <si>
    <t xml:space="preserve">Control de balance (suma de descuadres)</t>
  </si>
  <si>
    <t xml:space="preserve">Adecuación del capital inicial (margen de seguridad sobre la necesidad máxima)</t>
  </si>
  <si>
    <t xml:space="preserve">Colchón de seguridad exigido sobre la necesidad máxima</t>
  </si>
  <si>
    <t xml:space="preserve">Capital disponible</t>
  </si>
  <si>
    <t xml:space="preserve">Tamaño del lote inicial (escenario seleccionado, valores 2028)</t>
  </si>
  <si>
    <t xml:space="preserve">Unidades del lote</t>
  </si>
  <si>
    <t xml:space="preserve">Pago a fábrica (€)</t>
  </si>
  <si>
    <t xml:space="preserve">Coste en destino total (€)</t>
  </si>
  <si>
    <t xml:space="preserve">IEE si se paga al importar (€)</t>
  </si>
  <si>
    <t xml:space="preserve">Caja inmovilizada (€)</t>
  </si>
  <si>
    <t xml:space="preserve">Meses de venta a demanda 2029</t>
  </si>
  <si>
    <t xml:space="preserve">Riesgo de envejecimiento</t>
  </si>
  <si>
    <t xml:space="preserve">Análisis de sensibilidad — EBITDA 2030 (año estabilizado, escenario seleccionado)</t>
  </si>
  <si>
    <t xml:space="preserve">Forma cerrada equivalente al motor para 2030: EBITDA = U × contribución(PVP, FOB, FX, tarifa, merma) − gastos fijos − despachos.</t>
  </si>
  <si>
    <t xml:space="preserve">Base: unidades 2030</t>
  </si>
  <si>
    <t xml:space="preserve">Base: PVP</t>
  </si>
  <si>
    <t xml:space="preserve">Base: FOB USD/u</t>
  </si>
  <si>
    <t xml:space="preserve">Base: tipo de cambio USD/€</t>
  </si>
  <si>
    <t xml:space="preserve">Base: tarifa distribuidor</t>
  </si>
  <si>
    <t xml:space="preserve">Base: merma</t>
  </si>
  <si>
    <t xml:space="preserve">Coste no-FOB en destino por unidad (excl. FOB y su arancel/seguro)</t>
  </si>
  <si>
    <t xml:space="preserve">Gastos fijos 2030 + despachos (motor)</t>
  </si>
  <si>
    <t xml:space="preserve">EBITDA 2030 (motor)</t>
  </si>
  <si>
    <t xml:space="preserve">EBITDA 2030 (forma cerrada) — control</t>
  </si>
  <si>
    <t xml:space="preserve">← diferencia (debe ser 0)</t>
  </si>
  <si>
    <t xml:space="preserve">Tornado: impacto en EBITDA 2030 de variaciones individuales</t>
  </si>
  <si>
    <t xml:space="preserve">Variable</t>
  </si>
  <si>
    <t xml:space="preserve">Caso desfavorable</t>
  </si>
  <si>
    <t xml:space="preserve">Caso favorable</t>
  </si>
  <si>
    <t xml:space="preserve">EBITDA desfavorable</t>
  </si>
  <si>
    <t xml:space="preserve">EBITDA favorable</t>
  </si>
  <si>
    <t xml:space="preserve">Rango</t>
  </si>
  <si>
    <t xml:space="preserve">Volumen (unidades)</t>
  </si>
  <si>
    <t xml:space="preserve">PVP</t>
  </si>
  <si>
    <t xml:space="preserve">Coste FOB</t>
  </si>
  <si>
    <t xml:space="preserve">Tipo de cambio USD/€</t>
  </si>
  <si>
    <t xml:space="preserve">Tarifa distribuidor (pp)</t>
  </si>
  <si>
    <t xml:space="preserve">Merma (pp)</t>
  </si>
  <si>
    <t xml:space="preserve">Tabla bidimensional: EBITDA 2030 según PVP (filas) y FOB USD/u (columnas)</t>
  </si>
  <si>
    <t xml:space="preserve">PVP \ FOB</t>
  </si>
  <si>
    <t xml:space="preserve">4 USD</t>
  </si>
  <si>
    <t xml:space="preserve">5 USD</t>
  </si>
  <si>
    <t xml:space="preserve">6 USD</t>
  </si>
  <si>
    <t xml:space="preserve">7 USD</t>
  </si>
  <si>
    <t xml:space="preserve">8 USD</t>
  </si>
  <si>
    <t xml:space="preserve">9 USD</t>
  </si>
  <si>
    <t xml:space="preserve">10 USD</t>
  </si>
  <si>
    <t xml:space="preserve">FOB (input)</t>
  </si>
  <si>
    <t xml:space="preserve">Tabla bidimensional: EBITDA 2030 según volumen (filas) y tarifa del distribuidor (columnas)</t>
  </si>
  <si>
    <t xml:space="preserve">Unidades \ tarifa</t>
  </si>
  <si>
    <t xml:space="preserve">3%</t>
  </si>
  <si>
    <t xml:space="preserve">4%</t>
  </si>
  <si>
    <t xml:space="preserve">5%</t>
  </si>
  <si>
    <t xml:space="preserve">6%</t>
  </si>
  <si>
    <t xml:space="preserve">8%</t>
  </si>
  <si>
    <t xml:space="preserve">10%</t>
  </si>
  <si>
    <t xml:space="preserve">Retrasos de suministro y coste de financiación (aproximación)</t>
  </si>
  <si>
    <t xml:space="preserve">Gastos fijos mensuales 2028</t>
  </si>
  <si>
    <t xml:space="preserve">Retraso adicional (meses)</t>
  </si>
  <si>
    <t xml:space="preserve">Caja adicional necesaria (€)</t>
  </si>
  <si>
    <t xml:space="preserve">Coste financiero anual al 5%</t>
  </si>
  <si>
    <t xml:space="preserve">al 7%</t>
  </si>
  <si>
    <t xml:space="preserve">al 10%</t>
  </si>
  <si>
    <t xml:space="preserve">al 12%</t>
  </si>
  <si>
    <t xml:space="preserve">Lectura: cada mes de retraso consume gastos fijos sin ingresos; el anticipo pagado a Cuba ya está inmovilizado. La columna de coste financiero incluye la deuda del escenario en 2028.</t>
  </si>
  <si>
    <t xml:space="preserve">Rentabilidad de la inversión (escenario seleccionado)</t>
  </si>
  <si>
    <t xml:space="preserve">FCF del proyecto sin financiación; valor terminal = EBITDA 2031 × múltiplo (si positivo). Descuento a fin de año.</t>
  </si>
  <si>
    <t xml:space="preserve">(-) Impuestos</t>
  </si>
  <si>
    <t xml:space="preserve">(-) Variación circulante</t>
  </si>
  <si>
    <t xml:space="preserve">(-) CAPEX</t>
  </si>
  <si>
    <t xml:space="preserve">FCF del proyecto</t>
  </si>
  <si>
    <t xml:space="preserve">Valor terminal</t>
  </si>
  <si>
    <t xml:space="preserve">FCF + valor terminal</t>
  </si>
  <si>
    <t xml:space="preserve">Factor de descuento</t>
  </si>
  <si>
    <t xml:space="preserve">Valor actual</t>
  </si>
  <si>
    <t xml:space="preserve">NOPAT</t>
  </si>
  <si>
    <t xml:space="preserve">Capital invertido</t>
  </si>
  <si>
    <t xml:space="preserve">ROIC</t>
  </si>
  <si>
    <t xml:space="preserve">VAN al coste de capital (€)</t>
  </si>
  <si>
    <t xml:space="preserve">TIR del proyecto</t>
  </si>
  <si>
    <t xml:space="preserve">TIR sin valor terminal</t>
  </si>
  <si>
    <t xml:space="preserve">Payback (año en que el FCF acumulado pasa a positivo)</t>
  </si>
  <si>
    <t xml:space="preserve">Inversión máxima acumulada (mínimo del FCF acumulado)</t>
  </si>
  <si>
    <t xml:space="preserve">Múltiplo de la inversión (VA flujos positivos / VA flujos negativos)</t>
  </si>
  <si>
    <t xml:space="preserve">Valor atribuible a Arnaldo por su participación (equity × VAN positivo)</t>
  </si>
  <si>
    <t xml:space="preserve">Advertencia: con 5 años de horizonte y valor terminal por múltiplo, la TIR es muy sensible al EBITDA de 2031. Ver 'Scenarios' y 'Sensitivity Analysis'.</t>
  </si>
  <si>
    <t xml:space="preserve">Riesgos con impacto en el modelo (resumen; registro completo en 07_OPERATIONS/Risk Register.xlsx)</t>
  </si>
  <si>
    <t xml:space="preserve">ID</t>
  </si>
  <si>
    <t xml:space="preserve">Riesgo</t>
  </si>
  <si>
    <t xml:space="preserve">Severidad</t>
  </si>
  <si>
    <t xml:space="preserve">Variable afectada</t>
  </si>
  <si>
    <t xml:space="preserve">Mitigación</t>
  </si>
  <si>
    <t xml:space="preserve">R01</t>
  </si>
  <si>
    <t xml:space="preserve">No existe vía legal para fabricar/exportar una marca de titularidad extranjera en Cuba</t>
  </si>
  <si>
    <t xml:space="preserve">Crítico</t>
  </si>
  <si>
    <t xml:space="preserve">Todo el proyecto A</t>
  </si>
  <si>
    <t xml:space="preserve">Fase 0: confirmación escrita del exportador y del organismo competente antes de invertir</t>
  </si>
  <si>
    <t xml:space="preserve">R02</t>
  </si>
  <si>
    <t xml:space="preserve">Habanos S.A./Cubatabaco exige titularidad o control de la marca</t>
  </si>
  <si>
    <t xml:space="preserve">Valor de la marca</t>
  </si>
  <si>
    <t xml:space="preserve">No ceder la marca; si es condición, NO-GO o licencia con opción de recompra</t>
  </si>
  <si>
    <t xml:space="preserve">R03</t>
  </si>
  <si>
    <t xml:space="preserve">Coste FOB superior al supuesto (sin cotización)</t>
  </si>
  <si>
    <t xml:space="preserve">Alto</t>
  </si>
  <si>
    <t xml:space="preserve">Contribución unitaria</t>
  </si>
  <si>
    <t xml:space="preserve">Sensibilidad PVP×FOB; FOB máximo en 'Unit Economics'</t>
  </si>
  <si>
    <t xml:space="preserve">R04</t>
  </si>
  <si>
    <t xml:space="preserve">Retrasos de producción/transporte (anticipo inmovilizado)</t>
  </si>
  <si>
    <t xml:space="preserve">Caja</t>
  </si>
  <si>
    <t xml:space="preserve">Lotes pequeños, hitos de pago, seguro</t>
  </si>
  <si>
    <t xml:space="preserve">R05</t>
  </si>
  <si>
    <t xml:space="preserve">Imposibilidad de pagar a Cuba por canal bancario</t>
  </si>
  <si>
    <t xml:space="preserve">Operativa</t>
  </si>
  <si>
    <t xml:space="preserve">Validar banco antes de firmar; carta de crédito</t>
  </si>
  <si>
    <t xml:space="preserve">R06</t>
  </si>
  <si>
    <t xml:space="preserve">Distribuidor no acepta la marca o exige tarifa mayor</t>
  </si>
  <si>
    <t xml:space="preserve">Volumen/margen</t>
  </si>
  <si>
    <t xml:space="preserve">Cartas de interés previas; tabla volumen×tarifa</t>
  </si>
  <si>
    <t xml:space="preserve">R07</t>
  </si>
  <si>
    <t xml:space="preserve">Cambio normativo UE (fiscalidad, TPD) 2028+</t>
  </si>
  <si>
    <t xml:space="preserve">Medio</t>
  </si>
  <si>
    <t xml:space="preserve">Precio/costes</t>
  </si>
  <si>
    <t xml:space="preserve">Seguimiento; el mínimo propuesto afecta poco a PVP ≥12 €</t>
  </si>
  <si>
    <t xml:space="preserve">R08</t>
  </si>
  <si>
    <t xml:space="preserve">Rotación lenta en expendedurías (envejecimiento, merma)</t>
  </si>
  <si>
    <t xml:space="preserve">Circulante</t>
  </si>
  <si>
    <t xml:space="preserve">Cobertura 6 meses; humidificación en 3PL</t>
  </si>
  <si>
    <t xml:space="preserve">R09</t>
  </si>
  <si>
    <t xml:space="preserve">Calidad inconsistente entre lotes</t>
  </si>
  <si>
    <t xml:space="preserve">Marca</t>
  </si>
  <si>
    <t xml:space="preserve">Ficha técnica, catas ciegas, rechazo contractual</t>
  </si>
  <si>
    <t xml:space="preserve">R10</t>
  </si>
  <si>
    <t xml:space="preserve">Bloqueo de suministro (escenario Estrés)</t>
  </si>
  <si>
    <t xml:space="preserve">Continuidad</t>
  </si>
  <si>
    <t xml:space="preserve">Plan de contingencia; marca transferible a otro origen (con cambio de producto)</t>
  </si>
  <si>
    <t xml:space="preserve">Fuentes y validación de supuestos</t>
  </si>
  <si>
    <t xml:space="preserve">Fecha de consulta: 10/10/2026. Acceso mediante motor de búsqueda (descarga directa bloqueada en el entorno).</t>
  </si>
  <si>
    <t xml:space="preserve">Fuente</t>
  </si>
  <si>
    <t xml:space="preserve">Tipo</t>
  </si>
  <si>
    <t xml:space="preserve">Dato utilizado</t>
  </si>
  <si>
    <t xml:space="preserve">URL</t>
  </si>
  <si>
    <t xml:space="preserve">S01</t>
  </si>
  <si>
    <t xml:space="preserve">Habanos S.A. — ficha enciclopédica</t>
  </si>
  <si>
    <t xml:space="preserve">Secundaria</t>
  </si>
  <si>
    <t xml:space="preserve">Habanos S.A. (1994) controla promoción, distribución y exportación mundial de puros premium cubanos; estructura 50/50 Cubatabaco / socio privado.</t>
  </si>
  <si>
    <t xml:space="preserve">VERIFICADO (con S05, S21)</t>
  </si>
  <si>
    <t xml:space="preserve">https://en.wikipedia.org/wiki/Habanos_S.A.</t>
  </si>
  <si>
    <t xml:space="preserve">S02</t>
  </si>
  <si>
    <t xml:space="preserve">Cigar Aficionado — New Cuban cigars / Regional Editions</t>
  </si>
  <si>
    <t xml:space="preserve">Ediciones Regionales: las solicitan distribuidores exclusivos; compra de 25.000 unidades por referencia; exclusividad regional &gt;= 2 años.</t>
  </si>
  <si>
    <t xml:space="preserve">https://www.cigaraficionado.com/article/new-cuban-cigars-from-habanos</t>
  </si>
  <si>
    <t xml:space="preserve">S03</t>
  </si>
  <si>
    <t xml:space="preserve">Gaceta Oficial de Cuba No. 71 Ordinaria 2026 / Decreto-Ley 133/2026</t>
  </si>
  <si>
    <t xml:space="preserve">Primaria (índice)</t>
  </si>
  <si>
    <t xml:space="preserve">DL 133/2026 modifica DL 88, 89 y 90/2024 (mipymes, CNA, TCP); faculta a mipymes a importar/exportar directamente previa autorización del MINCEX.</t>
  </si>
  <si>
    <t xml:space="preserve">VERIFICADO (con S04)</t>
  </si>
  <si>
    <t xml:space="preserve">https://www.gacetaoficial.gob.cu/es/gaceta-oficial-no-71-ordinaria-de-2026</t>
  </si>
  <si>
    <t xml:space="preserve">S04</t>
  </si>
  <si>
    <t xml:space="preserve">CiberCuba — MINCEX actualiza reglas para importar y exportar (03/09/2026)</t>
  </si>
  <si>
    <t xml:space="preserve">Resolución MINCEX (Gaceta No. 73) fija requisitos para operar comercio exterior y lista de productos no comerciables directamente (contenido de la lista no confirmado).</t>
  </si>
  <si>
    <t xml:space="preserve">https://en.cibercuba.com/noticias/2026-09-03-u1-e135253-s27061-nid339462-mincex-actualiza-reglas-importar-exportar-cuba</t>
  </si>
  <si>
    <t xml:space="preserve">S05</t>
  </si>
  <si>
    <t xml:space="preserve">Tobacco Asia — Cuba Opens Tobacco to Private Investment (2026)</t>
  </si>
  <si>
    <t xml:space="preserve">Medida 58: usufructo de tierra a personas jurídicas privadas, tabaco incluido; Tabacuba mantiene el monopolio de compra de hoja; Habanos S.A. mantiene marketing y exportación.</t>
  </si>
  <si>
    <t xml:space="preserve">VERIFICADO (con S01, S46)</t>
  </si>
  <si>
    <t xml:space="preserve">https://www.tobaccoasia.com/features/cuba-opens-tobacco-to-private-investment/</t>
  </si>
  <si>
    <t xml:space="preserve">S06</t>
  </si>
  <si>
    <t xml:space="preserve">CiberCuba — Decreto 183/2026 sucursales de empresas extranjeras (06/10/2026)</t>
  </si>
  <si>
    <t xml:space="preserve">Regula facultades de sucursales extranjeras (importar/exportar, mayorista, facturar); minorista prohibido. Sin mención a tabaco.</t>
  </si>
  <si>
    <t xml:space="preserve">https://en.cibercuba.com/noticias/2026-10-06-u1-e207888-s27061-nid342081-cuba-prohibe-sucursales-empresas-extranjeras</t>
  </si>
  <si>
    <t xml:space="preserve">S07</t>
  </si>
  <si>
    <t xml:space="preserve">Infobae / Cubadebate — Decreto-Ley 128/2026 modifica Ley 118 de Inversión Extranjera (03/09/2026)</t>
  </si>
  <si>
    <t xml:space="preserve">Secundaria + medio oficial</t>
  </si>
  <si>
    <t xml:space="preserve">Firmado 28/07/2026, GO No. 73 de 03/09/2026: contratación directa de trabajadores por empresas mixtas y de capital extranjero; cuentas en el exterior sin autorización previa del BCC.</t>
  </si>
  <si>
    <t xml:space="preserve">VERIFICADO (Infobae + Cubadebate + Radio Rebelde)</t>
  </si>
  <si>
    <t xml:space="preserve">https://www.infobae.com/cuba/2026/09/03/que-cambia-para-las-empresas-extranjeras-en-cuba-desde-este-3-de-septiembre-con-el-decreto-ley-128/</t>
  </si>
  <si>
    <t xml:space="preserve">S08</t>
  </si>
  <si>
    <t xml:space="preserve">US-Cuba Trade and Economic Council — BAT vende el 50% de Brascuba (05/10/2026)</t>
  </si>
  <si>
    <t xml:space="preserve">BAT vende su 50% en la empresa mixta Brascuba a Tabagest S.A.: retirada de un socio extranjero del sector tabaco.</t>
  </si>
  <si>
    <t xml:space="preserve">https://www.cubatrade.org/blog/2026/10/5/k2bx5ab4es4p93polzfwzfxq3k34jf</t>
  </si>
  <si>
    <t xml:space="preserve">S09</t>
  </si>
  <si>
    <t xml:space="preserve">Directorio Cubano — Nota de la Aduana de Cuba sobre decomisos</t>
  </si>
  <si>
    <t xml:space="preserve">Secundaria (reproduce nota oficial)</t>
  </si>
  <si>
    <t xml:space="preserve">Exportación de tabaco torcido regulada por la Resolución 98/2022 del MINAG; viajeros: hasta 20 unidades sueltas sin documentación; más, con factura de tienda autorizada.</t>
  </si>
  <si>
    <t xml:space="preserve">https://www.directoriocubano.info/cuba/nota-informativa-de-la-aduana-de-cuba-sobre-nuevos-decomisos-en-el-aeropuerto-jose-marti-de-la-habana/</t>
  </si>
  <si>
    <t xml:space="preserve">S10</t>
  </si>
  <si>
    <t xml:space="preserve">Davidoff — ficha enciclopédica</t>
  </si>
  <si>
    <t xml:space="preserve">Precedente: puros Davidoff fabricados en El Laguito (La Habana) desde 1968/69 hasta 1990/91; ruptura con Cubatabaco por calidad y titularidad de la marca.</t>
  </si>
  <si>
    <t xml:space="preserve">https://en.wikipedia.org/wiki/Davidoff</t>
  </si>
  <si>
    <t xml:space="preserve">S11</t>
  </si>
  <si>
    <t xml:space="preserve">CigarSense / Pipedia — Dunhill Cuban cigars</t>
  </si>
  <si>
    <t xml:space="preserve">Precedente: marca Dunhill fabricada en Cuba (acuerdo 1982, venta 1984) hasta ~1991.</t>
  </si>
  <si>
    <t xml:space="preserve">https://www.cigarsense.com/the-history-of-the-dunhill-cuban-cigars/</t>
  </si>
  <si>
    <t xml:space="preserve">S12</t>
  </si>
  <si>
    <t xml:space="preserve">Zigarren.zone / Cigar Inspector — Habanos Private Selection</t>
  </si>
  <si>
    <t xml:space="preserve">Habanos sólo ofrece anillas/sellos personalizados a ganadores de subastas benéficas; no consta servicio de marca privada para terceros.</t>
  </si>
  <si>
    <t xml:space="preserve">https://www.zigarren.zone/en/habanos-private-selection-exclusivity-and-individualization-for-the-winners-of-the-habanos-charity-auctions/</t>
  </si>
  <si>
    <t xml:space="preserve">S13</t>
  </si>
  <si>
    <t xml:space="preserve">Infobae (12/05/2025) / Periódico Cubano — Cohiba en EE.UU.; Múnich protege 'Cuba' y 'La Habana'</t>
  </si>
  <si>
    <t xml:space="preserve">Cubatabaco es titular de Cohiba; el OLG Múnich reconoce 'Cuba', 'La Habana' y derivados como indicaciones geográficas con reputación especial para puros.</t>
  </si>
  <si>
    <t xml:space="preserve">VERIFICADO (2 fuentes)</t>
  </si>
  <si>
    <t xml:space="preserve">https://www.infobae.com/america/agencias/2025/05/12/habanos-aplaude-el-fallo-federal-en-eeuu-que-reconoce-sus-derechos-sobre-la-marca-cohiba/</t>
  </si>
  <si>
    <t xml:space="preserve">Agencia Tributaria — Novedades Ley 7/2024 en Impuestos Especiales (vigor 2025)</t>
  </si>
  <si>
    <t xml:space="preserve">Primaria</t>
  </si>
  <si>
    <t xml:space="preserve">Cigarros y cigarritos: 15,8% sobre PVP; mínimo 47 €/1.000 unidades.</t>
  </si>
  <si>
    <t xml:space="preserve">https://sede.agenciatributaria.gob.es/Sede/impuestos-especiales-medioambientales/novedades-impuestos-especiales-medioambientales/2024/diciembre/26/novedades-ley-72024-materia-impuestos-2025.html</t>
  </si>
  <si>
    <t xml:space="preserve">S15</t>
  </si>
  <si>
    <t xml:space="preserve">Ley 13/1998 de Ordenación del Mercado de Tabacos (BOE-A-1998-10407)</t>
  </si>
  <si>
    <t xml:space="preserve">Margen de expendedores: 8,5% general; cigarros 9% (texto original). Pendiente confirmar redacción consolidada vigente.</t>
  </si>
  <si>
    <t xml:space="preserve">https://www.boe.es/buscar/doc.php?id=BOE-A-1998-10407</t>
  </si>
  <si>
    <t xml:space="preserve">S16</t>
  </si>
  <si>
    <t xml:space="preserve">Real Decreto 1199/1999 (consolidado BOE, últ. act. 10/07/2025)</t>
  </si>
  <si>
    <t xml:space="preserve">Desarrolla Ley 13/1998: estatuto concesional de expendedurías; art. 31 remite a márgenes de la Ley; libertad de fabricación, importación y mayorista con habilitación.</t>
  </si>
  <si>
    <t xml:space="preserve">https://www.boe.es/buscar/act.php?id=BOE-A-1999-15353</t>
  </si>
  <si>
    <t xml:space="preserve">S17</t>
  </si>
  <si>
    <t xml:space="preserve">Comisionado para el Mercado de Tabacos — Guía para operadores mayoristas (v. 28/10/2024)</t>
  </si>
  <si>
    <t xml:space="preserve">Habilitación como fabricante (incluye titulares de marca e importadores) y como distribuidor: plazo máximo de resolución 15 días hábiles; obligaciones de información mensual/anual.</t>
  </si>
  <si>
    <t xml:space="preserve">https://www.hacienda.gob.es/es-ES/Areas%20Tematicas/CMTabacos/Paginas/MayoristasCMT.aspx</t>
  </si>
  <si>
    <t xml:space="preserve">S18</t>
  </si>
  <si>
    <t xml:space="preserve">BOE — Resoluciones del CMT de precios de venta al público 2026 (p.ej. BOE-A-2026-12799, BOE-A-2026-16756)</t>
  </si>
  <si>
    <t xml:space="preserve">Los PVP de cada labor se publican por resolución del CMT en el BOE antes de su aplicación en expendedurías.</t>
  </si>
  <si>
    <t xml:space="preserve">https://www.boe.es/diario_boe/txt.php?id=BOE-A-2026-12799</t>
  </si>
  <si>
    <t xml:space="preserve">S19</t>
  </si>
  <si>
    <t xml:space="preserve">Tabacon.es — Cohiba Behike BHK 56 (10)</t>
  </si>
  <si>
    <t xml:space="preserve">Secundaria (agregador de PVP BOE)</t>
  </si>
  <si>
    <t xml:space="preserve">PVP expendeduría (mar-2026): 262,50 €/unidad; caja de 10: 2.625 €; punto de venta con recargo: 301,90 €/u.</t>
  </si>
  <si>
    <t xml:space="preserve">PROBABLE (coherente con S20)</t>
  </si>
  <si>
    <t xml:space="preserve">https://tabacon.es/tabacos/cohiba-behike-bhk-56-10/</t>
  </si>
  <si>
    <t xml:space="preserve">S20</t>
  </si>
  <si>
    <t xml:space="preserve">Cigar Aficionado — Ten facts about Cohiba Behike / price increases</t>
  </si>
  <si>
    <t xml:space="preserve">Behike auténtico sólo en cajas de 10; las cajas de 25 son falsificación habitual; en 2023 BHK 56 en España a 250 €/u.</t>
  </si>
  <si>
    <t xml:space="preserve">VERIFICADO (2 artículos)</t>
  </si>
  <si>
    <t xml:space="preserve">https://www.cigaraficionado.com/article/ten-facts-about-cohiba-behike-cuba-s-top-cigar-brand</t>
  </si>
  <si>
    <t xml:space="preserve">S21</t>
  </si>
  <si>
    <t xml:space="preserve">14ymedio / Periódico Cubano / Directorio Cubano — congelación de cuentas de Tabacalera (2026)</t>
  </si>
  <si>
    <t xml:space="preserve">Tabacalera S.L.U., distribuidor exclusivo de Habanos en España (salvo Canarias), con cuentas bloqueadas por sanciones UE a Chen Zhi (30/07/2026); pagos sujetos a autorización del Tesoro.</t>
  </si>
  <si>
    <t xml:space="preserve">VERIFICADO (3 medios)</t>
  </si>
  <si>
    <t xml:space="preserve">https://www.14ymedio.com/internacional/autoridades-espanolas-congelan-cuentas-tabacalera_1_1130763.html</t>
  </si>
  <si>
    <t xml:space="preserve">S22</t>
  </si>
  <si>
    <t xml:space="preserve">Halfwheel / Cigar Aficionado — 5th Avenue (Alemania) suspende entregas; sanciones OFAC a Allied Cigar</t>
  </si>
  <si>
    <t xml:space="preserve">Distribución de Habanos afectada en varios países europeos; Allied Cigar sancionada en EE.UU. (oct-2025).</t>
  </si>
  <si>
    <t xml:space="preserve">VERIFICADO (2 medios)</t>
  </si>
  <si>
    <t xml:space="preserve">https://halfwheel.com/5th-avenue-german-austrian-distributor-of-cuban-cigars-pauses-deliveries-due-to-banking-issues/478900/</t>
  </si>
  <si>
    <t xml:space="preserve">S23</t>
  </si>
  <si>
    <t xml:space="preserve">Nicotine Insider — Chen Zhi sanctions hit EU cigar distribution (05/09/2026)</t>
  </si>
  <si>
    <t xml:space="preserve">El CEO de Tabacalera reconoce estar sujeta a las sanciones y busca licencia UE; licencias temporales en EE.UU. y Reino Unido.</t>
  </si>
  <si>
    <t xml:space="preserve">https://nicotineinsider.com/2026/09/05/zhi-sanctions-hit-eu-cigar-distribution-network/</t>
  </si>
  <si>
    <t xml:space="preserve">S24</t>
  </si>
  <si>
    <t xml:space="preserve">PR Newswire — Grupo Habanos: facturación récord 827 M USD en 2024</t>
  </si>
  <si>
    <t xml:space="preserve">Primaria (empresa)</t>
  </si>
  <si>
    <t xml:space="preserve">Ventas 2024: 827 M USD (+16%); top mercados: China, España, Suiza, Reino Unido, Alemania; Europa 54%.</t>
  </si>
  <si>
    <t xml:space="preserve">https://www.prnewswire.com/mx/comunicados-de-prensa/el-grupo-habanos-alcanza-una-facturacion-record-de-827-millones-de-dolares-en-2024-302383562.html</t>
  </si>
  <si>
    <t xml:space="preserve">S25</t>
  </si>
  <si>
    <t xml:space="preserve">Hacienda / CMT — Informe mensual del mercado de tabacos, octubre 2025</t>
  </si>
  <si>
    <t xml:space="preserve">Cigarros (todas las gamas) ene-oct 2025: 460,8 M unidades (+6,65% interanual). No separa puro premium.</t>
  </si>
  <si>
    <t xml:space="preserve">VERIFICADO (lectura de columnas a confirmar)</t>
  </si>
  <si>
    <t xml:space="preserve">https://www.hacienda.gob.es/tabacos/informes%20comite%20consultivo/iinformes2025/informe-mercado-octubre2025.pdf</t>
  </si>
  <si>
    <t xml:space="preserve">S26</t>
  </si>
  <si>
    <t xml:space="preserve">CNMC — expediente sector tabaco</t>
  </si>
  <si>
    <t xml:space="preserve">Distribución mayorista liberalizada con licencia previa del CMT; ~13.000 expendedurías como canal minorista en monopolio.</t>
  </si>
  <si>
    <t xml:space="preserve">https://cnmc.es/sites/default/files/2951887_1.pdf</t>
  </si>
  <si>
    <t xml:space="preserve">S27</t>
  </si>
  <si>
    <t xml:space="preserve">Orden HAC/66/2024 (BOE-A-2024-1990) y RD 1171/2023</t>
  </si>
  <si>
    <t xml:space="preserve">Marcas fiscales obligatorias para cigarros y demás labores desde el 20/05/2024; FNMT suministra elementos de autenticación.</t>
  </si>
  <si>
    <t xml:space="preserve">https://www.boe.es/boe/dias/2024/02/02/pdfs/BOE-A-2024-1990.pdf</t>
  </si>
  <si>
    <t xml:space="preserve">S28</t>
  </si>
  <si>
    <t xml:space="preserve">Comisión Europea — Systems for tobacco traceability and security features</t>
  </si>
  <si>
    <t xml:space="preserve">Trazabilidad (Reg. Ejec. 2018/574): resto de productos del tabaco desde 20/05/2024; identificador único + elemento de seguridad.</t>
  </si>
  <si>
    <t xml:space="preserve">https://health.ec.europa.eu/tobacco/product-regulation/systems-tobacco-traceability-and-security-features_en</t>
  </si>
  <si>
    <t xml:space="preserve">S29</t>
  </si>
  <si>
    <t xml:space="preserve">Ministerio de Sanidad — nota sobre RD de transposición de la Directiva 2014/40/UE; portal EU-CEG</t>
  </si>
  <si>
    <t xml:space="preserve">Fabricantes e importadores comunican ingredientes por marca y tipo vía EU-CEG antes de comercializar.</t>
  </si>
  <si>
    <t xml:space="preserve">VERIFICADO (plazo concreto PENDIENTE)</t>
  </si>
  <si>
    <t xml:space="preserve">https://www.sanidad.gob.es/gabinete/notasPrensa.do?id=4174</t>
  </si>
  <si>
    <t xml:space="preserve">S30</t>
  </si>
  <si>
    <t xml:space="preserve">Tobacco Control Laws — Real Decreto 579/2017 (España)</t>
  </si>
  <si>
    <t xml:space="preserve">RD 579/2017 transpone la Directiva 2014/40/UE (advertencias, envasado, trazabilidad).</t>
  </si>
  <si>
    <t xml:space="preserve">https://www.tobaccocontrollaws.org/laws/decree-579-2017-spain</t>
  </si>
  <si>
    <t xml:space="preserve">S31</t>
  </si>
  <si>
    <t xml:space="preserve">Consejo UE / OEIL — refundición Directiva fiscalidad del tabaco (propuesta 16/07/2025)</t>
  </si>
  <si>
    <t xml:space="preserve">Propuesta en negociación (compromiso de Presidencia 29/05/2026); efectos previstos 01/01/2028. Borrador filtrado: mínimo cigarros 143 €/1.000 u (no confirmado en texto final).</t>
  </si>
  <si>
    <t xml:space="preserve">https://oeil.europarl.europa.eu/oeil/en/document-summary?id=1830594</t>
  </si>
  <si>
    <t xml:space="preserve">S32</t>
  </si>
  <si>
    <t xml:space="preserve">UK Integrated Online Tariff — 2402100000</t>
  </si>
  <si>
    <t xml:space="preserve">Primaria (Reino Unido, proxy)</t>
  </si>
  <si>
    <t xml:space="preserve">Derecho tercer país RU 25%. El derecho convencional UE (26%) se toma como PROBABLE pendiente de TARIC.</t>
  </si>
  <si>
    <t xml:space="preserve">https://www.trade-tariff.service.gov.uk/commodities/2402100000</t>
  </si>
  <si>
    <t xml:space="preserve">S33</t>
  </si>
  <si>
    <t xml:space="preserve">Access2Markets — EPA UE-CARIFORUM</t>
  </si>
  <si>
    <t xml:space="preserve">Acceso libre de derechos y contingentes a la UE para productos CARIFORUM (incl. R. Dominicana), salvo armas, con prueba de origen.</t>
  </si>
  <si>
    <t xml:space="preserve">PROBABLE (aplicación a 2402 por confirmar en TARIC)</t>
  </si>
  <si>
    <t xml:space="preserve">https://trade.ec.europa.eu/access-to-markets/de/content/epa-caribbean-cariforum</t>
  </si>
  <si>
    <t xml:space="preserve">S34</t>
  </si>
  <si>
    <t xml:space="preserve">Andorra Insiders — Convenio Andorra–España de doble imposición</t>
  </si>
  <si>
    <t xml:space="preserve">Firmado 08/01/2015; en vigor 26/02/2016; modelo OCDE con cláusulas antiabuso.</t>
  </si>
  <si>
    <t xml:space="preserve">https://andorrainsiders.com/en/andorra-spain-double-taxation-agreement-cdi/</t>
  </si>
  <si>
    <t xml:space="preserve">S35</t>
  </si>
  <si>
    <t xml:space="preserve">Directorio Cubano / Diario de Cuba — vías de pago España–Cuba (2026)</t>
  </si>
  <si>
    <t xml:space="preserve">CaixaBank Giros deja de operar hacia Cuba (08/09/2026); pocos bancos corresponsales (BBVA, Sabadell, CaixaBank).</t>
  </si>
  <si>
    <t xml:space="preserve">https://www.directoriocubano.info/?p=150699</t>
  </si>
  <si>
    <t xml:space="preserve">S36</t>
  </si>
  <si>
    <t xml:space="preserve">Habanos S.A. — Authenticity Check / Moodie Davitt Report</t>
  </si>
  <si>
    <t xml:space="preserve">Primaria + secundaria</t>
  </si>
  <si>
    <t xml:space="preserve">Sello de garantía con holograma, código de barras único por caja, microtextos; NFC en ediciones seleccionadas; 'Hecho en Cuba' estampado en caliente.</t>
  </si>
  <si>
    <t xml:space="preserve">https://moodiedavittreport.com/habanos-steps-up-anti-counterfeit-efforts-with-enhanced-authentication-system/</t>
  </si>
  <si>
    <t xml:space="preserve">S37</t>
  </si>
  <si>
    <t xml:space="preserve">Halfwheel — Cuban cigars get modest price increases for 2026 / ESdiario BOE</t>
  </si>
  <si>
    <t xml:space="preserve">PVP España 2026: Partagás Serie D No. 4 ≈ 21,20 €/u; Montecristo No. 2 21,80 €/u; R&amp;J Churchills 24,80 €/u.</t>
  </si>
  <si>
    <t xml:space="preserve">https://halfwheel.com/cuban-cigars-get-modest-price-increases-for-2026/460235/</t>
  </si>
  <si>
    <t xml:space="preserve">S38</t>
  </si>
  <si>
    <t xml:space="preserve">BOE — Resolución CMT de 22/05/2026 (precios)</t>
  </si>
  <si>
    <t xml:space="preserve">Davidoff Puro Dominicano Short Robusto 15,50 €; Padrón 2000 11,90 €; Padrón Damaso No. 15 20,00 €; Padrón 1926 80th 42,00 €.</t>
  </si>
  <si>
    <t xml:space="preserve">https://www.boe.es/eli/es/res/2026/05/22/(1)</t>
  </si>
  <si>
    <t xml:space="preserve">S39</t>
  </si>
  <si>
    <t xml:space="preserve">J.C. Newman — marca Yagua</t>
  </si>
  <si>
    <t xml:space="preserve">Colisión de naming: 'Yagua' ya es marca de puros.</t>
  </si>
  <si>
    <t xml:space="preserve">https://www.jcnewman.com/review-yaga-cigars/</t>
  </si>
  <si>
    <t xml:space="preserve">S40</t>
  </si>
  <si>
    <t xml:space="preserve">Cigars Lover — La Galera Connecticut 'El Lector'</t>
  </si>
  <si>
    <t xml:space="preserve">Colisión de naming: 'El Lector' usado como vitola por La Galera.</t>
  </si>
  <si>
    <t xml:space="preserve">https://www.cigarslover.com/en/la-galera-connecticut-el-lector/</t>
  </si>
  <si>
    <t xml:space="preserve">S41</t>
  </si>
  <si>
    <t xml:space="preserve">Habanos — Hoyo de Monterrey Escogidos; La Aurora Escogidos</t>
  </si>
  <si>
    <t xml:space="preserve">Colisión de naming: 'Escogidos' en uso.</t>
  </si>
  <si>
    <t xml:space="preserve">https://www.habanos.com/en/news/lanzamiento-global-de-hoyo-de-monterrey-escogidos-en-polonia-en/</t>
  </si>
  <si>
    <t xml:space="preserve">S42</t>
  </si>
  <si>
    <t xml:space="preserve">WIPO Lex / Gestiopolis — Decreto-Ley 203/1999 de Marcas (Cuba)</t>
  </si>
  <si>
    <t xml:space="preserve">Primaria (índice) + secundaria</t>
  </si>
  <si>
    <t xml:space="preserve">Ley cubana de marcas; solicitantes extranjeros sin domicilio actúan mediante Agente Oficial; tarifas OCPI (Res. 2496/2000).</t>
  </si>
  <si>
    <t xml:space="preserve">https://www.wipo.int/wipolex/es/legislation/details/11219</t>
  </si>
  <si>
    <t xml:space="preserve">S43</t>
  </si>
  <si>
    <t xml:space="preserve">Lector (cigar manufacture) — ficha enciclopédica</t>
  </si>
  <si>
    <t xml:space="preserve">La lectura en tabaquerías se origina en Cuba en 1865.</t>
  </si>
  <si>
    <t xml:space="preserve">https://en.wikipedia.org/wiki/Lector_(cigar_manufacture)</t>
  </si>
  <si>
    <t xml:space="preserve">S44</t>
  </si>
  <si>
    <t xml:space="preserve">Directorio Cubano — lista de 125 actividades prohibidas a mipymes (Gaceta No. 78, anterior a 2026)</t>
  </si>
  <si>
    <t xml:space="preserve">La producción de tabaco figuraba entre las actividades prohibidas al sector privado; vigencia tras reformas 2026 por confirmar.</t>
  </si>
  <si>
    <t xml:space="preserve">https://www.directoriocubano.info/cuba/gobierno-cubano-publica-lista-de-125-actividades-prohibidas-para-mipymes/</t>
  </si>
  <si>
    <t xml:space="preserve">S45</t>
  </si>
  <si>
    <t xml:space="preserve">Cigar-Coop (05/2026) — vía libre a Tabacalera de García y Flor de Copán</t>
  </si>
  <si>
    <t xml:space="preserve">Licencias temporales OFAC/OFSI para entidades del grupo Allied (fuente única).</t>
  </si>
  <si>
    <t xml:space="preserve">https://cigar-coop.com/2026/05/report-path-cleared-for-tabacalera-de-garcia-and-flor-de-copan-to-resume-operations-cigar-news.html</t>
  </si>
  <si>
    <t xml:space="preserve">S46</t>
  </si>
  <si>
    <t xml:space="preserve">Cigars-Connect — Tabacuba objetivos 2025</t>
  </si>
  <si>
    <t xml:space="preserve">Tabacuba dirige toda la actividad tabacalera y suministra a Habanos; objetivo 2025: &gt;70 M puros para exportación.</t>
  </si>
  <si>
    <t xml:space="preserve">https://www.cigars-connect.com/en/breaking-cuba-aims-to-export-70-million-cigars-in-2025</t>
  </si>
  <si>
    <t xml:space="preserve">S47</t>
  </si>
  <si>
    <t xml:space="preserve">Cigars-Connect — Cosecha 2025-2026 Vuelta Abajo</t>
  </si>
  <si>
    <t xml:space="preserve">Campaña 2025-26: 11.426 ha plantadas frente a objetivo de &gt;14.000 ha (restricción de oferta de hoja).</t>
  </si>
  <si>
    <t xml:space="preserve">https://www.cigars-connect.com/en/cuba-2026-harvest-up-in-the-vuelta-abajo/</t>
  </si>
  <si>
    <t xml:space="preserve">S48</t>
  </si>
  <si>
    <t xml:space="preserve">Moncloa.com (20/08/2026) — revisión de la fiscalidad del tabaco en la UE</t>
  </si>
  <si>
    <t xml:space="preserve">La revisión de la Directiva sigue en el Consejo en agosto de 2026.</t>
  </si>
  <si>
    <t xml:space="preserve">https://www.moncloa.com/2026/08/20/impuestos-tabaco-ue-subida-139-3418041</t>
  </si>
  <si>
    <t xml:space="preserve">S49</t>
  </si>
  <si>
    <t xml:space="preserve">Habanos / Cigars-Connect — fallecimiento de Arnaldo Vichot, ex maestro ligador de Partagás (24/02/2026)</t>
  </si>
  <si>
    <t xml:space="preserve">Posible asociación del nombre ARNALDO con una figura conocida del sector; no se halló marca de puros «Arnaldo».</t>
  </si>
  <si>
    <t xml:space="preserve">https://www.habanos.com/en/news/heartfelt-condolences/</t>
  </si>
  <si>
    <t xml:space="preserve">S50</t>
  </si>
  <si>
    <t xml:space="preserve">Habanos — marca Vegas Robaina (creada en 1997)</t>
  </si>
  <si>
    <t xml:space="preserve">Marca con nombre de un veguero propiedad de Habanos S.A.: precedente de titularidad estatal de una marca de nombre propio.</t>
  </si>
  <si>
    <t xml:space="preserve">https://www.habanos.com/en/the-habanos-brands-academia/vegas-robaina-brand/</t>
  </si>
  <si>
    <t xml:space="preserve">S51</t>
  </si>
  <si>
    <t xml:space="preserve">Justia — marcas de GRYSON NV (ARLONDO)</t>
  </si>
  <si>
    <t xml:space="preserve">Marca de tabaco ARLONDO: analizar riesgo de confusión con ARNALDO.</t>
  </si>
  <si>
    <t xml:space="preserve">https://trademark.justia.com/owners/gryson-naamloze-vennootschap-1326237</t>
  </si>
  <si>
    <t xml:space="preserve">N01</t>
  </si>
  <si>
    <t xml:space="preserve">Ley Orgánica 12/1995 de Represión del Contrabando (mod. LO 6/2011)</t>
  </si>
  <si>
    <t xml:space="preserve">Norma (no releída hoy)</t>
  </si>
  <si>
    <t xml:space="preserve">Delito de contrabando en labores de tabaco a partir de 15.000 € de valor; por debajo, infracción administrativa.</t>
  </si>
  <si>
    <t xml:space="preserve">https://www.boe.es/buscar/act.php?id=BOE-A-1995-26836</t>
  </si>
  <si>
    <t xml:space="preserve">N02</t>
  </si>
  <si>
    <t xml:space="preserve">Reglamento (UE) 2017/1001 sobre la marca de la UE, art. 15; STJUE C-355/96 Silhouette</t>
  </si>
  <si>
    <t xml:space="preserve">Agotamiento del derecho de marca sólo regional (EEE): importar desde terceros países producto genuino sin consentimiento del titular infringe la marca.</t>
  </si>
  <si>
    <t xml:space="preserve">https://eur-lex.europa.eu/eli/reg/2017/1001/oj</t>
  </si>
  <si>
    <t xml:space="preserve">N03</t>
  </si>
  <si>
    <t xml:space="preserve">Directiva 2014/40/UE, arts. 5, 9-11</t>
  </si>
  <si>
    <t xml:space="preserve">Notificación previa de ingredientes; para productos del tabaco para fumar distintos de cigarrillos/picadura/pipa de agua cabe exención de advertencias combinadas: advertencia general + mensaje de texto.</t>
  </si>
  <si>
    <t xml:space="preserve">https://eur-lex.europa.eu/eli/dir/2014/40/oj</t>
  </si>
  <si>
    <t xml:space="preserve">N04</t>
  </si>
  <si>
    <t xml:space="preserve">Ley 27/2014 del Impuesto sobre Sociedades, art. 29</t>
  </si>
  <si>
    <t xml:space="preserve">Tipo general 25%; entidades de nueva creación 15% en el primer periodo con base positiva y el siguiente.</t>
  </si>
  <si>
    <t xml:space="preserve">https://www.boe.es/buscar/act.php?id=BOE-A-2014-12328</t>
  </si>
  <si>
    <t xml:space="preserve">N05</t>
  </si>
  <si>
    <t xml:space="preserve">EUIPO — tasas de marca de la UE</t>
  </si>
  <si>
    <t xml:space="preserve">Solicitud electrónica de marca UE: 850 € (1 clase).</t>
  </si>
  <si>
    <t xml:space="preserve">https://euipo.europa.eu/ohimportal/es/fees-and-payments</t>
  </si>
  <si>
    <t xml:space="preserve">N06</t>
  </si>
  <si>
    <t xml:space="preserve">Cuban Assets Control Regulations, 31 CFR Part 515 (OFAC) y Reglamento (CE) 2271/96 (bloqueo)</t>
  </si>
  <si>
    <t xml:space="preserve">Embargo de EE.UU. a Cuba con efectos sobre bancos, USD y personas estadounidenses; el Reglamento de bloqueo UE prohíbe a operadores UE acatar ciertas medidas extraterritoriales.</t>
  </si>
  <si>
    <t xml:space="preserve">https://www.ecfr.gov/current/title-31/subtitle-B/chapter-V/part-515</t>
  </si>
  <si>
    <t xml:space="preserve">N07</t>
  </si>
  <si>
    <t xml:space="preserve">Ley 95/2010 del Impuesto sobre Sociedades de Andorra</t>
  </si>
  <si>
    <t xml:space="preserve">Tipo general 10% en Andorra; régimen y sustancia deben confirmarse con asesor andorrano.</t>
  </si>
  <si>
    <t xml:space="preserve">HIPÓTESIS (confirmar)</t>
  </si>
  <si>
    <t xml:space="preserve">https://www.bopa.ad</t>
  </si>
  <si>
    <t xml:space="preserve">Controles automáticos del modelo</t>
  </si>
  <si>
    <t xml:space="preserve">Balance cuadra en los 4 escenarios</t>
  </si>
  <si>
    <t xml:space="preserve">Reparto del PVP suma 100% (Import &amp; Taxes)</t>
  </si>
  <si>
    <t xml:space="preserve">Caja final conciliada con variación (Cash Flow)</t>
  </si>
  <si>
    <t xml:space="preserve">Sensibilidad: forma cerrada = motor (EBITDA 2030)</t>
  </si>
  <si>
    <t xml:space="preserve">Stock final nunca negativo</t>
  </si>
  <si>
    <t xml:space="preserve">Motor de cálculo — 4 escenarios en paralelo (no editar: sólo fórmulas)</t>
  </si>
  <si>
    <t xml:space="preserve">Bloques: Conservador C:G · Base I:M · Optimista O:S · Estrés U:Y. Las hojas de presentación leen el escenario seleccionado.</t>
  </si>
  <si>
    <t xml:space="preserve">VOLUMEN E INVENTARIO (unidades)</t>
  </si>
  <si>
    <t xml:space="preserve">Año</t>
  </si>
  <si>
    <t xml:space="preserve">Demanda</t>
  </si>
  <si>
    <t xml:space="preserve">Suministro disponible (1/0)</t>
  </si>
  <si>
    <t xml:space="preserve">Factor de consumo por unidad vendida (merma+muestras)</t>
  </si>
  <si>
    <t xml:space="preserve">Stock inicial</t>
  </si>
  <si>
    <t xml:space="preserve">Stock objetivo a cierre</t>
  </si>
  <si>
    <t xml:space="preserve">Unidades compradas (importadas)</t>
  </si>
  <si>
    <t xml:space="preserve">Unidades consumidas (ventas+merma+muestras)</t>
  </si>
  <si>
    <t xml:space="preserve">Stock final</t>
  </si>
  <si>
    <t xml:space="preserve">ECONOMÍA UNITARIA (€/u)</t>
  </si>
  <si>
    <t xml:space="preserve">Fabricación FOB en €</t>
  </si>
  <si>
    <t xml:space="preserve">Valor CIF (base aduanera)</t>
  </si>
  <si>
    <t xml:space="preserve">Coste en destino (sin IEE ni IVA)</t>
  </si>
  <si>
    <t xml:space="preserve">CUENTA DE RESULTADOS (€)</t>
  </si>
  <si>
    <t xml:space="preserve">Ventas a PVP (consumidor, IVA incl.) — informativo</t>
  </si>
  <si>
    <t xml:space="preserve">(-) Margen expendedor</t>
  </si>
  <si>
    <t xml:space="preserve">(-) Tarifa distribuidor</t>
  </si>
  <si>
    <t xml:space="preserve">Ingresos de la marca (antes de IEE)</t>
  </si>
  <si>
    <t xml:space="preserve">(-) Impuesto especial devengado</t>
  </si>
  <si>
    <t xml:space="preserve">(-) Coste de ventas (incl. merma y muestras)</t>
  </si>
  <si>
    <t xml:space="preserve">(-) Gastos de despacho aduanero</t>
  </si>
  <si>
    <t xml:space="preserve">Margen bruto</t>
  </si>
  <si>
    <t xml:space="preserve">CAPEX intangible</t>
  </si>
  <si>
    <t xml:space="preserve">CAPEX acumulado</t>
  </si>
  <si>
    <t xml:space="preserve">Amortización acumulada</t>
  </si>
  <si>
    <t xml:space="preserve">Intangible neto</t>
  </si>
  <si>
    <t xml:space="preserve">(-) Gastos financieros (sobre deuda inicial del año)</t>
  </si>
  <si>
    <t xml:space="preserve">Bases negativas pendientes (inicio)</t>
  </si>
  <si>
    <t xml:space="preserve">Base imponible tras compensación</t>
  </si>
  <si>
    <t xml:space="preserve">Bases negativas pendientes (cierre)</t>
  </si>
  <si>
    <t xml:space="preserve">CAPITAL CIRCULANTE (€, saldos a cierre)</t>
  </si>
  <si>
    <t xml:space="preserve">Existencias (coste en destino)</t>
  </si>
  <si>
    <t xml:space="preserve">IEE pagado en el año</t>
  </si>
  <si>
    <t xml:space="preserve">Clientes (distribuidor)</t>
  </si>
  <si>
    <t xml:space="preserve">Anticipos a fábrica (pedidos en curso)</t>
  </si>
  <si>
    <t xml:space="preserve">IVA de importación soportado en el año</t>
  </si>
  <si>
    <t xml:space="preserve">Hacienda deudora por IVA</t>
  </si>
  <si>
    <t xml:space="preserve">Proveedores de gastos generales</t>
  </si>
  <si>
    <t xml:space="preserve">IVA repercutido en el año</t>
  </si>
  <si>
    <t xml:space="preserve">Hacienda acreedora por IVA</t>
  </si>
  <si>
    <t xml:space="preserve">Capital circulante neto</t>
  </si>
  <si>
    <t xml:space="preserve">Variación del circulante</t>
  </si>
  <si>
    <t xml:space="preserve">FLUJOS DE CAJA Y FINANCIACIÓN (€)</t>
  </si>
  <si>
    <t xml:space="preserve">Flujo de explotación</t>
  </si>
  <si>
    <t xml:space="preserve">Flujo de inversión</t>
  </si>
  <si>
    <t xml:space="preserve">Posición neta de caja antes de financiación ajena</t>
  </si>
  <si>
    <t xml:space="preserve">Financiación ajena necesaria (saldo)</t>
  </si>
  <si>
    <t xml:space="preserve">Disposición / (devolución) de financiación</t>
  </si>
  <si>
    <t xml:space="preserve">BALANCE (€)</t>
  </si>
  <si>
    <t xml:space="preserve">Total activo</t>
  </si>
  <si>
    <t xml:space="preserve">Total pasivo exigible</t>
  </si>
  <si>
    <t xml:space="preserve">Patrimonio neto</t>
  </si>
  <si>
    <t xml:space="preserve">CONTROL: Activo − Pasivo − PN (debe ser 0)</t>
  </si>
  <si>
    <t xml:space="preserve">RENTABILIDAD (€)</t>
  </si>
  <si>
    <t xml:space="preserve">Flujo de caja libre del proyecto (sin financiación)</t>
  </si>
  <si>
    <t xml:space="preserve">Valor terminal (sólo 2031; EBITDA&gt;0 × múltiplo)</t>
  </si>
  <si>
    <t xml:space="preserve">Factor de descuento (fin de año)</t>
  </si>
  <si>
    <t xml:space="preserve">Año de recuperación (si ocurre)</t>
  </si>
  <si>
    <t xml:space="preserve">NOPAT (EBIT × (1−t))</t>
  </si>
  <si>
    <t xml:space="preserve">Capital invertido (circulante + intangible)</t>
  </si>
  <si>
    <t xml:space="preserve">ROIC (NOPAT / capital invertido medio)</t>
  </si>
  <si>
    <t xml:space="preserve">Punto muerto EBITDA (unidades/año)</t>
  </si>
  <si>
    <t xml:space="preserve">Punto muerto EBIT (unidades/año)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</si>
</sst>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[RED]\-#,##0"/>
    <numFmt numFmtId="166" formatCode="#,##0&quot; €&quot;;[RED]\-#,##0&quot; €&quot;"/>
    <numFmt numFmtId="167" formatCode="0.0%"/>
    <numFmt numFmtId="168" formatCode="0"/>
    <numFmt numFmtId="169" formatCode="#,##0.00&quot; €&quot;;[RED]\-#,##0.00&quot; €&quot;"/>
    <numFmt numFmtId="170" formatCode="#,##0.00;[RED]\-#,##0.00"/>
    <numFmt numFmtId="171" formatCode="0.00\x"/>
    <numFmt numFmtId="172" formatCode="0.0"/>
    <numFmt numFmtId="173" formatCode="0.0000"/>
    <numFmt numFmtId="174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1F4E9E"/>
      <name val="Calibri"/>
      <family val="0"/>
      <charset val="1"/>
    </font>
    <font>
      <b val="true"/>
      <sz val="11"/>
      <color rgb="FF5A3E2B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F0D9"/>
        <bgColor rgb="FFEFE7DA"/>
      </patternFill>
    </fill>
    <fill>
      <patternFill patternType="solid">
        <fgColor rgb="FF5A3E2B"/>
        <bgColor rgb="FF666666"/>
      </patternFill>
    </fill>
    <fill>
      <patternFill patternType="solid">
        <fgColor rgb="FFFADBD8"/>
        <bgColor rgb="FFEFE7DA"/>
      </patternFill>
    </fill>
    <fill>
      <patternFill patternType="solid">
        <fgColor rgb="FFFFF8E1"/>
        <bgColor rgb="FFFFFFFF"/>
      </patternFill>
    </fill>
    <fill>
      <patternFill patternType="solid">
        <fgColor rgb="FFEFE7DA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ADBD8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C0504D"/>
      <rgbColor rgb="FFFFF8E1"/>
      <rgbColor rgb="FFEFE7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ADBD8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1B1A17"/>
      <rgbColor rgb="FF993300"/>
      <rgbColor rgb="FF993366"/>
      <rgbColor rgb="FF1F4E9E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del escenario activo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Dashboard!$B$36:$F$36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Dashboard!$B$37:$F$37</c:f>
              <c:numCache>
                <c:formatCode>#,##0" €";[RED]\-#,##0" €"</c:formatCode>
                <c:ptCount val="5"/>
                <c:pt idx="0">
                  <c:v>-27190</c:v>
                </c:pt>
                <c:pt idx="1">
                  <c:v>-20174.5188033425</c:v>
                </c:pt>
                <c:pt idx="2">
                  <c:v>-17112.9079058493</c:v>
                </c:pt>
                <c:pt idx="3">
                  <c:v>-16251.2970083561</c:v>
                </c:pt>
                <c:pt idx="4">
                  <c:v>-13849.686110863</c:v>
                </c:pt>
              </c:numCache>
            </c:numRef>
          </c:val>
        </c:ser>
        <c:gapWidth val="150"/>
        <c:overlap val="0"/>
        <c:axId val="21094447"/>
        <c:axId val="93315858"/>
      </c:barChart>
      <c:catAx>
        <c:axId val="2109444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15858"/>
        <c:crosses val="autoZero"/>
        <c:auto val="1"/>
        <c:lblAlgn val="ctr"/>
        <c:lblOffset val="100"/>
        <c:noMultiLvlLbl val="0"/>
      </c:catAx>
      <c:valAx>
        <c:axId val="93315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;[RED]\-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94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Caja acumulada de un pedido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'Working Capital'!$B$25:$Z$25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'Working Capital'!$B$36:$Z$36</c:f>
              <c:numCache>
                <c:formatCode>#,##0;[RED]\-#,##0</c:formatCode>
                <c:ptCount val="25"/>
                <c:pt idx="0">
                  <c:v>-12573.5869565217</c:v>
                </c:pt>
                <c:pt idx="1">
                  <c:v>-14471.0869565217</c:v>
                </c:pt>
                <c:pt idx="2">
                  <c:v>-16368.5869565217</c:v>
                </c:pt>
                <c:pt idx="3">
                  <c:v>-18266.0869565217</c:v>
                </c:pt>
                <c:pt idx="4">
                  <c:v>-32604.6847826087</c:v>
                </c:pt>
                <c:pt idx="5">
                  <c:v>-61984.4199195652</c:v>
                </c:pt>
                <c:pt idx="6">
                  <c:v>-63881.9199195652</c:v>
                </c:pt>
                <c:pt idx="7">
                  <c:v>-65779.4199195652</c:v>
                </c:pt>
                <c:pt idx="8">
                  <c:v>-59171.152826087</c:v>
                </c:pt>
                <c:pt idx="9">
                  <c:v>-57186.505944956</c:v>
                </c:pt>
                <c:pt idx="10">
                  <c:v>-55201.859063825</c:v>
                </c:pt>
                <c:pt idx="11">
                  <c:v>-53217.212182694</c:v>
                </c:pt>
                <c:pt idx="12">
                  <c:v>-51232.565301563</c:v>
                </c:pt>
                <c:pt idx="13">
                  <c:v>-49247.918420432</c:v>
                </c:pt>
                <c:pt idx="14">
                  <c:v>-47263.271539301</c:v>
                </c:pt>
                <c:pt idx="15">
                  <c:v>-45278.62465817</c:v>
                </c:pt>
                <c:pt idx="16">
                  <c:v>-43293.977777039</c:v>
                </c:pt>
                <c:pt idx="17">
                  <c:v>-41309.330895908</c:v>
                </c:pt>
                <c:pt idx="18">
                  <c:v>-39324.6840147771</c:v>
                </c:pt>
                <c:pt idx="19">
                  <c:v>-37340.0371336461</c:v>
                </c:pt>
                <c:pt idx="20">
                  <c:v>-39237.5371336461</c:v>
                </c:pt>
                <c:pt idx="21">
                  <c:v>-41135.0371336461</c:v>
                </c:pt>
                <c:pt idx="22">
                  <c:v>-43032.5371336461</c:v>
                </c:pt>
                <c:pt idx="23">
                  <c:v>-44930.0371336461</c:v>
                </c:pt>
                <c:pt idx="24">
                  <c:v>-46827.5371336461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337591"/>
        <c:axId val="38755491"/>
      </c:lineChart>
      <c:catAx>
        <c:axId val="48337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55491"/>
        <c:crosses val="autoZero"/>
        <c:auto val="1"/>
        <c:lblAlgn val="ctr"/>
        <c:lblOffset val="100"/>
        <c:noMultiLvlLbl val="0"/>
      </c:catAx>
      <c:valAx>
        <c:axId val="38755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375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por escenario 2028–2031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"Conservador"</c:f>
              <c:strCache>
                <c:ptCount val="1"/>
                <c:pt idx="0">
                  <c:v>Conservador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Scenarios!$A$9:$A$12</c:f>
              <c:strCache>
                <c:ptCount val="4"/>
                <c:pt idx="0">
                  <c:v>EBITDA 2028</c:v>
                </c:pt>
                <c:pt idx="1">
                  <c:v>EBITDA 2029</c:v>
                </c:pt>
                <c:pt idx="2">
                  <c:v>EBITDA 2030</c:v>
                </c:pt>
                <c:pt idx="3">
                  <c:v>EBITDA 2031</c:v>
                </c:pt>
              </c:strCache>
            </c:strRef>
          </c:cat>
          <c:val>
            <c:numRef>
              <c:f>Scenarios!$B$9:$B$12</c:f>
              <c:numCache>
                <c:formatCode>#,##0" €";[RED]\-#,##0" €"</c:formatCode>
                <c:ptCount val="4"/>
                <c:pt idx="0">
                  <c:v>-29795.8631697763</c:v>
                </c:pt>
                <c:pt idx="1">
                  <c:v>-30645.0447546644</c:v>
                </c:pt>
                <c:pt idx="2">
                  <c:v>-34024.2263395525</c:v>
                </c:pt>
                <c:pt idx="3">
                  <c:v>-35632.4079244407</c:v>
                </c:pt>
              </c:numCache>
            </c:numRef>
          </c:val>
        </c:ser>
        <c:ser>
          <c:idx val="1"/>
          <c:order val="1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Scenarios!$A$9:$A$12</c:f>
              <c:strCache>
                <c:ptCount val="4"/>
                <c:pt idx="0">
                  <c:v>EBITDA 2028</c:v>
                </c:pt>
                <c:pt idx="1">
                  <c:v>EBITDA 2029</c:v>
                </c:pt>
                <c:pt idx="2">
                  <c:v>EBITDA 2030</c:v>
                </c:pt>
                <c:pt idx="3">
                  <c:v>EBITDA 2031</c:v>
                </c:pt>
              </c:strCache>
            </c:strRef>
          </c:cat>
          <c:val>
            <c:numRef>
              <c:f>Scenarios!$C$9:$C$12</c:f>
              <c:numCache>
                <c:formatCode>#,##0" €";[RED]\-#,##0" €"</c:formatCode>
                <c:ptCount val="4"/>
                <c:pt idx="0">
                  <c:v>-20174.5188033425</c:v>
                </c:pt>
                <c:pt idx="1">
                  <c:v>-17112.9079058493</c:v>
                </c:pt>
                <c:pt idx="2">
                  <c:v>-16251.2970083561</c:v>
                </c:pt>
                <c:pt idx="3">
                  <c:v>-13849.686110863</c:v>
                </c:pt>
              </c:numCache>
            </c:numRef>
          </c:val>
        </c:ser>
        <c:ser>
          <c:idx val="2"/>
          <c:order val="2"/>
          <c:tx>
            <c:strRef>
              <c:f>"Optimista"</c:f>
              <c:strCache>
                <c:ptCount val="1"/>
                <c:pt idx="0">
                  <c:v>Optimista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Scenarios!$A$9:$A$12</c:f>
              <c:strCache>
                <c:ptCount val="4"/>
                <c:pt idx="0">
                  <c:v>EBITDA 2028</c:v>
                </c:pt>
                <c:pt idx="1">
                  <c:v>EBITDA 2029</c:v>
                </c:pt>
                <c:pt idx="2">
                  <c:v>EBITDA 2030</c:v>
                </c:pt>
                <c:pt idx="3">
                  <c:v>EBITDA 2031</c:v>
                </c:pt>
              </c:strCache>
            </c:strRef>
          </c:cat>
          <c:val>
            <c:numRef>
              <c:f>Scenarios!$D$9:$D$12</c:f>
              <c:numCache>
                <c:formatCode>#,##0" €";[RED]\-#,##0" €"</c:formatCode>
                <c:ptCount val="4"/>
                <c:pt idx="0">
                  <c:v>-5385.0320411096</c:v>
                </c:pt>
                <c:pt idx="1">
                  <c:v>9786.08792952638</c:v>
                </c:pt>
                <c:pt idx="2">
                  <c:v>25474.6318942896</c:v>
                </c:pt>
                <c:pt idx="3">
                  <c:v>42857.1758590528</c:v>
                </c:pt>
              </c:numCache>
            </c:numRef>
          </c:val>
        </c:ser>
        <c:ser>
          <c:idx val="3"/>
          <c:order val="3"/>
          <c:tx>
            <c:strRef>
              <c:f>"Estrés"</c:f>
              <c:strCache>
                <c:ptCount val="1"/>
                <c:pt idx="0">
                  <c:v>Estrés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Scenarios!$A$9:$A$12</c:f>
              <c:strCache>
                <c:ptCount val="4"/>
                <c:pt idx="0">
                  <c:v>EBITDA 2028</c:v>
                </c:pt>
                <c:pt idx="1">
                  <c:v>EBITDA 2029</c:v>
                </c:pt>
                <c:pt idx="2">
                  <c:v>EBITDA 2030</c:v>
                </c:pt>
                <c:pt idx="3">
                  <c:v>EBITDA 2031</c:v>
                </c:pt>
              </c:strCache>
            </c:strRef>
          </c:cat>
          <c:val>
            <c:numRef>
              <c:f>Scenarios!$E$9:$E$12</c:f>
              <c:numCache>
                <c:formatCode>#,##0" €";[RED]\-#,##0" €"</c:formatCode>
                <c:ptCount val="4"/>
                <c:pt idx="0">
                  <c:v>-33103.3314342871</c:v>
                </c:pt>
                <c:pt idx="1">
                  <c:v>-30584.4469565983</c:v>
                </c:pt>
                <c:pt idx="2">
                  <c:v>-28908</c:v>
                </c:pt>
                <c:pt idx="3">
                  <c:v>-29172</c:v>
                </c:pt>
              </c:numCache>
            </c:numRef>
          </c:val>
        </c:ser>
        <c:gapWidth val="150"/>
        <c:overlap val="0"/>
        <c:axId val="25329291"/>
        <c:axId val="39823927"/>
      </c:barChart>
      <c:catAx>
        <c:axId val="25329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23927"/>
        <c:crosses val="autoZero"/>
        <c:auto val="1"/>
        <c:lblAlgn val="ctr"/>
        <c:lblOffset val="100"/>
        <c:noMultiLvlLbl val="0"/>
      </c:catAx>
      <c:valAx>
        <c:axId val="39823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;[RED]\-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29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10</xdr:col>
      <xdr:colOff>446760</xdr:colOff>
      <xdr:row>15</xdr:row>
      <xdr:rowOff>174240</xdr:rowOff>
    </xdr:to>
    <xdr:graphicFrame>
      <xdr:nvGraphicFramePr>
        <xdr:cNvPr id="0" name="Chart 1"/>
        <xdr:cNvGraphicFramePr/>
      </xdr:nvGraphicFramePr>
      <xdr:xfrm>
        <a:off x="6766560" y="571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130680</xdr:rowOff>
    </xdr:from>
    <xdr:to>
      <xdr:col>6</xdr:col>
      <xdr:colOff>166320</xdr:colOff>
      <xdr:row>54</xdr:row>
      <xdr:rowOff>173880</xdr:rowOff>
    </xdr:to>
    <xdr:graphicFrame>
      <xdr:nvGraphicFramePr>
        <xdr:cNvPr id="1" name="Chart 1"/>
        <xdr:cNvGraphicFramePr/>
      </xdr:nvGraphicFramePr>
      <xdr:xfrm>
        <a:off x="0" y="8001000"/>
        <a:ext cx="79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19</xdr:col>
      <xdr:colOff>473040</xdr:colOff>
      <xdr:row>17</xdr:row>
      <xdr:rowOff>153000</xdr:rowOff>
    </xdr:to>
    <xdr:graphicFrame>
      <xdr:nvGraphicFramePr>
        <xdr:cNvPr id="2" name="Chart 1"/>
        <xdr:cNvGraphicFramePr/>
      </xdr:nvGraphicFramePr>
      <xdr:xfrm>
        <a:off x="11607120" y="571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5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tr">
        <f aca="false">Assumptions!$D$4</f>
        <v>Base</v>
      </c>
    </row>
    <row r="6" customFormat="false" ht="15" hidden="false" customHeight="false" outlineLevel="0" collapsed="false">
      <c r="A6" s="5" t="s">
        <v>3</v>
      </c>
      <c r="B6" s="5" t="s">
        <v>4</v>
      </c>
    </row>
    <row r="7" customFormat="false" ht="15" hidden="false" customHeight="false" outlineLevel="0" collapsed="false">
      <c r="A7" s="3" t="s">
        <v>5</v>
      </c>
      <c r="B7" s="6" t="n">
        <f aca="false">INDEX(Engine!$C$14:$Y$14,1,(Assumptions!$C$4-1)*6+5)</f>
        <v>6500</v>
      </c>
    </row>
    <row r="8" customFormat="false" ht="15" hidden="false" customHeight="false" outlineLevel="0" collapsed="false">
      <c r="A8" s="3" t="s">
        <v>6</v>
      </c>
      <c r="B8" s="7" t="n">
        <f aca="false">INDEX(Engine!$C$33:$Y$33,1,(Assumptions!$C$4-1)*6+5)</f>
        <v>107085.619834711</v>
      </c>
    </row>
    <row r="9" customFormat="false" ht="15" hidden="false" customHeight="false" outlineLevel="0" collapsed="false">
      <c r="A9" s="3" t="s">
        <v>7</v>
      </c>
      <c r="B9" s="7" t="n">
        <f aca="false">INDEX(Engine!$C$41:$Y$41,1,(Assumptions!$C$4-1)*6+5)</f>
        <v>-13849.686110863</v>
      </c>
    </row>
    <row r="10" customFormat="false" ht="15" hidden="false" customHeight="false" outlineLevel="0" collapsed="false">
      <c r="A10" s="3" t="s">
        <v>8</v>
      </c>
      <c r="B10" s="7" t="n">
        <f aca="false">SUM(INDEX(Engine!$C$41:$Y$41,1,(Assumptions!$C$4-1)*6+1)+INDEX(Engine!$C$41:$Y$41,1,(Assumptions!$C$4-1)*6+2)+INDEX(Engine!$C$41:$Y$41,1,(Assumptions!$C$4-1)*6+3)+INDEX(Engine!$C$41:$Y$41,1,(Assumptions!$C$4-1)*6+4)+INDEX(Engine!$C$41:$Y$41,1,(Assumptions!$C$4-1)*6+5))</f>
        <v>-94578.4098284109</v>
      </c>
    </row>
    <row r="11" customFormat="false" ht="15" hidden="false" customHeight="false" outlineLevel="0" collapsed="false">
      <c r="A11" s="3" t="s">
        <v>9</v>
      </c>
      <c r="B11" s="7" t="n">
        <f aca="false">INDEX(Engine!$C$54:$Y$54,1,(Assumptions!$C$4-1)*6+1)+INDEX(Engine!$C$54:$Y$54,1,(Assumptions!$C$4-1)*6+2)+INDEX(Engine!$C$54:$Y$54,1,(Assumptions!$C$4-1)*6+3)+INDEX(Engine!$C$54:$Y$54,1,(Assumptions!$C$4-1)*6+4)+INDEX(Engine!$C$54:$Y$54,1,(Assumptions!$C$4-1)*6+5)</f>
        <v>-129033.999881879</v>
      </c>
    </row>
    <row r="12" customFormat="false" ht="15" hidden="false" customHeight="false" outlineLevel="0" collapsed="false">
      <c r="A12" s="3" t="s">
        <v>10</v>
      </c>
      <c r="B12" s="7" t="n">
        <f aca="false">INDEX(Scenarios!$B$16:$E$16,1,Assumptions!$C$4)</f>
        <v>184160.484666021</v>
      </c>
    </row>
    <row r="13" customFormat="false" ht="15" hidden="false" customHeight="false" outlineLevel="0" collapsed="false">
      <c r="A13" s="3" t="s">
        <v>11</v>
      </c>
      <c r="B13" s="7" t="n">
        <f aca="false">Assumptions!$C$9</f>
        <v>50000</v>
      </c>
    </row>
    <row r="14" customFormat="false" ht="15" hidden="false" customHeight="false" outlineLevel="0" collapsed="false">
      <c r="A14" s="3" t="s">
        <v>12</v>
      </c>
      <c r="B14" s="7" t="n">
        <f aca="false">MAX(INDEX(Engine!$C$75:$Y$75,1,(Assumptions!$C$4-1)*6+1),INDEX(Engine!$C$75:$Y$75,1,(Assumptions!$C$4-1)*6+2),INDEX(Engine!$C$75:$Y$75,1,(Assumptions!$C$4-1)*6+3),INDEX(Engine!$C$75:$Y$75,1,(Assumptions!$C$4-1)*6+4),INDEX(Engine!$C$75:$Y$75,1,(Assumptions!$C$4-1)*6+5))</f>
        <v>153816.074719489</v>
      </c>
    </row>
    <row r="15" customFormat="false" ht="15" hidden="false" customHeight="false" outlineLevel="0" collapsed="false">
      <c r="A15" s="3" t="s">
        <v>13</v>
      </c>
      <c r="B15" s="7" t="n">
        <f aca="false">'Investment Returns'!B21</f>
        <v>-120972.968353857</v>
      </c>
    </row>
    <row r="16" customFormat="false" ht="15" hidden="false" customHeight="false" outlineLevel="0" collapsed="false">
      <c r="A16" s="3" t="s">
        <v>14</v>
      </c>
      <c r="B16" s="8" t="str">
        <f aca="false">'Investment Returns'!B22</f>
        <v>no calculable</v>
      </c>
    </row>
    <row r="17" customFormat="false" ht="15" hidden="false" customHeight="false" outlineLevel="0" collapsed="false">
      <c r="A17" s="3" t="s">
        <v>15</v>
      </c>
      <c r="B17" s="9" t="str">
        <f aca="false">'Investment Returns'!B24</f>
        <v>no se recupera en 2027-2031</v>
      </c>
    </row>
    <row r="18" customFormat="false" ht="15" hidden="false" customHeight="false" outlineLevel="0" collapsed="false">
      <c r="A18" s="3" t="s">
        <v>16</v>
      </c>
      <c r="B18" s="6" t="n">
        <f aca="false">INDEX(Engine!$C$97:$Y$97,1,(Assumptions!$C$4-1)*6+4)</f>
        <v>14298.4605518096</v>
      </c>
    </row>
    <row r="19" customFormat="false" ht="15" hidden="false" customHeight="false" outlineLevel="0" collapsed="false">
      <c r="A19" s="3" t="s">
        <v>17</v>
      </c>
      <c r="B19" s="10" t="n">
        <f aca="false">INDEX(Engine!$C$26:$Y$26,1,(Assumptions!$C$4-1)*6+4)</f>
        <v>1.74774059832877</v>
      </c>
    </row>
    <row r="20" customFormat="false" ht="15" hidden="false" customHeight="false" outlineLevel="0" collapsed="false">
      <c r="A20" s="3" t="s">
        <v>18</v>
      </c>
      <c r="B20" s="7" t="n">
        <f aca="false">'Working Capital'!$B$38</f>
        <v>65779.4199195652</v>
      </c>
    </row>
    <row r="21" customFormat="false" ht="15" hidden="false" customHeight="false" outlineLevel="0" collapsed="false">
      <c r="A21" s="3" t="s">
        <v>19</v>
      </c>
      <c r="B21" s="11" t="n">
        <f aca="false">SUMPRODUCT(ABS(Engine!$C$84:$Y$84))</f>
        <v>0</v>
      </c>
    </row>
    <row r="23" customFormat="false" ht="15" hidden="false" customHeight="false" outlineLevel="0" collapsed="false">
      <c r="A23" s="3" t="s">
        <v>20</v>
      </c>
      <c r="B23" s="12" t="str">
        <f aca="false">IF(B14&gt;0,"El capital no cubre la necesidad: requiere financiación adicional",IF(B9&lt;=0,"EBITDA 2031 negativo: modelo no sostenible","Autofinanciable con el capital indicado"))</f>
        <v>El capital no cubre la necesidad: requiere financiación adicional</v>
      </c>
    </row>
    <row r="24" customFormat="false" ht="15" hidden="false" customHeight="false" outlineLevel="0" collapsed="false">
      <c r="A24" s="3" t="s">
        <v>21</v>
      </c>
      <c r="B24" s="12" t="s">
        <v>22</v>
      </c>
    </row>
    <row r="26" customFormat="false" ht="15" hidden="false" customHeight="false" outlineLevel="0" collapsed="false">
      <c r="A26" s="5" t="s">
        <v>23</v>
      </c>
      <c r="B26" s="5" t="s">
        <v>24</v>
      </c>
      <c r="C26" s="5" t="s">
        <v>25</v>
      </c>
      <c r="D26" s="5" t="s">
        <v>26</v>
      </c>
      <c r="E26" s="5" t="s">
        <v>27</v>
      </c>
    </row>
    <row r="27" customFormat="false" ht="15" hidden="false" customHeight="false" outlineLevel="0" collapsed="false">
      <c r="A27" s="3" t="s">
        <v>5</v>
      </c>
      <c r="B27" s="13" t="n">
        <f aca="false">Scenarios!B6</f>
        <v>2500</v>
      </c>
      <c r="C27" s="13" t="n">
        <f aca="false">Scenarios!C6</f>
        <v>6500</v>
      </c>
      <c r="D27" s="13" t="n">
        <f aca="false">Scenarios!D6</f>
        <v>12000</v>
      </c>
      <c r="E27" s="13" t="n">
        <f aca="false">Scenarios!E6</f>
        <v>0</v>
      </c>
    </row>
    <row r="28" customFormat="false" ht="15" hidden="false" customHeight="false" outlineLevel="0" collapsed="false">
      <c r="A28" s="3" t="s">
        <v>7</v>
      </c>
      <c r="B28" s="14" t="n">
        <f aca="false">Scenarios!B12</f>
        <v>-35632.4079244407</v>
      </c>
      <c r="C28" s="14" t="n">
        <f aca="false">Scenarios!C12</f>
        <v>-13849.686110863</v>
      </c>
      <c r="D28" s="14" t="n">
        <f aca="false">Scenarios!D12</f>
        <v>42857.1758590528</v>
      </c>
      <c r="E28" s="14" t="n">
        <f aca="false">Scenarios!E12</f>
        <v>-29172</v>
      </c>
    </row>
    <row r="29" customFormat="false" ht="15" hidden="false" customHeight="false" outlineLevel="0" collapsed="false">
      <c r="A29" s="3" t="s">
        <v>8</v>
      </c>
      <c r="B29" s="14" t="n">
        <f aca="false">Scenarios!B13</f>
        <v>-161231.042188434</v>
      </c>
      <c r="C29" s="14" t="n">
        <f aca="false">Scenarios!C13</f>
        <v>-94578.4098284109</v>
      </c>
      <c r="D29" s="14" t="n">
        <f aca="false">Scenarios!D13</f>
        <v>42913.8636417591</v>
      </c>
      <c r="E29" s="14" t="n">
        <f aca="false">Scenarios!E13</f>
        <v>-154215.778390885</v>
      </c>
    </row>
    <row r="30" customFormat="false" ht="15" hidden="false" customHeight="false" outlineLevel="0" collapsed="false">
      <c r="A30" s="3" t="s">
        <v>10</v>
      </c>
      <c r="B30" s="14" t="n">
        <f aca="false">Scenarios!B16</f>
        <v>209452.122754239</v>
      </c>
      <c r="C30" s="14" t="n">
        <f aca="false">Scenarios!C16</f>
        <v>184160.484666021</v>
      </c>
      <c r="D30" s="14" t="n">
        <f aca="false">Scenarios!D16</f>
        <v>132822.632045034</v>
      </c>
      <c r="E30" s="14" t="n">
        <f aca="false">Scenarios!E16</f>
        <v>172818.079760748</v>
      </c>
    </row>
    <row r="31" customFormat="false" ht="15" hidden="false" customHeight="false" outlineLevel="0" collapsed="false">
      <c r="A31" s="3" t="s">
        <v>28</v>
      </c>
      <c r="B31" s="14" t="n">
        <f aca="false">Scenarios!B18</f>
        <v>-131046.345774706</v>
      </c>
      <c r="C31" s="14" t="n">
        <f aca="false">Scenarios!C18</f>
        <v>-120972.968353857</v>
      </c>
      <c r="D31" s="14" t="n">
        <f aca="false">Scenarios!D18</f>
        <v>10753.6309102544</v>
      </c>
      <c r="E31" s="14" t="n">
        <f aca="false">Scenarios!E18</f>
        <v>-116080.998415962</v>
      </c>
    </row>
    <row r="32" customFormat="false" ht="15" hidden="false" customHeight="false" outlineLevel="0" collapsed="false">
      <c r="A32" s="3" t="s">
        <v>14</v>
      </c>
      <c r="B32" s="15" t="str">
        <f aca="false">Scenarios!B19</f>
        <v>n/c</v>
      </c>
      <c r="C32" s="15" t="str">
        <f aca="false">Scenarios!C19</f>
        <v>n/c</v>
      </c>
      <c r="D32" s="15" t="n">
        <f aca="false">Scenarios!D19</f>
        <v>0.216403471809619</v>
      </c>
      <c r="E32" s="15" t="str">
        <f aca="false">Scenarios!E19</f>
        <v>n/c</v>
      </c>
    </row>
    <row r="33" customFormat="false" ht="15" hidden="false" customHeight="false" outlineLevel="0" collapsed="false">
      <c r="A33" s="3" t="s">
        <v>29</v>
      </c>
      <c r="B33" s="16" t="str">
        <f aca="false">Scenarios!B20</f>
        <v>&gt; 2031</v>
      </c>
      <c r="C33" s="16" t="str">
        <f aca="false">Scenarios!C20</f>
        <v>&gt; 2031</v>
      </c>
      <c r="D33" s="16" t="str">
        <f aca="false">Scenarios!D20</f>
        <v>&gt; 2031</v>
      </c>
      <c r="E33" s="16" t="str">
        <f aca="false">Scenarios!E20</f>
        <v>&gt; 2031</v>
      </c>
    </row>
    <row r="34" customFormat="false" ht="15" hidden="false" customHeight="false" outlineLevel="0" collapsed="false">
      <c r="A34" s="3" t="s">
        <v>30</v>
      </c>
      <c r="B34" s="13" t="str">
        <f aca="false">Scenarios!B21</f>
        <v>n/a</v>
      </c>
      <c r="C34" s="13" t="n">
        <f aca="false">Scenarios!C21</f>
        <v>14298.4605518096</v>
      </c>
      <c r="D34" s="13" t="n">
        <f aca="false">Scenarios!D21</f>
        <v>4663.78024670237</v>
      </c>
      <c r="E34" s="13" t="str">
        <f aca="false">Scenarios!E21</f>
        <v>n/a</v>
      </c>
    </row>
    <row r="36" customFormat="false" ht="15" hidden="false" customHeight="false" outlineLevel="0" collapsed="false">
      <c r="B36" s="16" t="n">
        <v>2027</v>
      </c>
      <c r="C36" s="16" t="n">
        <v>2028</v>
      </c>
      <c r="D36" s="16" t="n">
        <v>2029</v>
      </c>
      <c r="E36" s="16" t="n">
        <v>2030</v>
      </c>
      <c r="F36" s="16" t="n">
        <v>2031</v>
      </c>
    </row>
    <row r="37" customFormat="false" ht="15" hidden="false" customHeight="false" outlineLevel="0" collapsed="false">
      <c r="A37" s="17" t="s">
        <v>31</v>
      </c>
      <c r="B37" s="14" t="n">
        <f aca="false">INDEX(Engine!$C$41:$Y$41,1,(Assumptions!$C$4-1)*6+1)</f>
        <v>-27190</v>
      </c>
      <c r="C37" s="14" t="n">
        <f aca="false">INDEX(Engine!$C$41:$Y$41,1,(Assumptions!$C$4-1)*6+2)</f>
        <v>-20174.5188033425</v>
      </c>
      <c r="D37" s="14" t="n">
        <f aca="false">INDEX(Engine!$C$41:$Y$41,1,(Assumptions!$C$4-1)*6+3)</f>
        <v>-17112.9079058493</v>
      </c>
      <c r="E37" s="14" t="n">
        <f aca="false">INDEX(Engine!$C$41:$Y$41,1,(Assumptions!$C$4-1)*6+4)</f>
        <v>-16251.2970083561</v>
      </c>
      <c r="F37" s="14" t="n">
        <f aca="false">INDEX(Engine!$C$41:$Y$41,1,(Assumptions!$C$4-1)*6+5)</f>
        <v>-13849.686110863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1"/>
    <col collapsed="false" customWidth="true" hidden="false" outlineLevel="0" max="7" min="3" style="0" width="13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9.7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3" customFormat="false" ht="23.85" hidden="false" customHeight="false" outlineLevel="0" collapsed="false">
      <c r="C3" s="18" t="s">
        <v>34</v>
      </c>
      <c r="D3" s="19" t="s">
        <v>35</v>
      </c>
      <c r="E3" s="20" t="s">
        <v>36</v>
      </c>
      <c r="F3" s="21" t="s">
        <v>37</v>
      </c>
    </row>
    <row r="4" customFormat="false" ht="15" hidden="false" customHeight="false" outlineLevel="0" collapsed="false">
      <c r="A4" s="3" t="s">
        <v>38</v>
      </c>
      <c r="C4" s="22" t="n">
        <v>2</v>
      </c>
      <c r="D4" s="4" t="str">
        <f aca="false">INDEX({"Conservador","Base","Optimista","Estrés"},C4)</f>
        <v>Base</v>
      </c>
    </row>
    <row r="6" customFormat="false" ht="15" hidden="false" customHeight="false" outlineLevel="0" collapsed="false">
      <c r="A6" s="23" t="s">
        <v>39</v>
      </c>
      <c r="B6" s="24"/>
      <c r="C6" s="24"/>
      <c r="D6" s="24"/>
      <c r="E6" s="24"/>
      <c r="F6" s="24"/>
      <c r="G6" s="24"/>
    </row>
    <row r="7" customFormat="false" ht="15" hidden="false" customHeight="false" outlineLevel="0" collapsed="false">
      <c r="A7" s="5" t="s">
        <v>40</v>
      </c>
      <c r="B7" s="5" t="s">
        <v>41</v>
      </c>
      <c r="C7" s="5" t="s">
        <v>4</v>
      </c>
      <c r="D7" s="5" t="s">
        <v>42</v>
      </c>
      <c r="E7" s="5" t="s">
        <v>43</v>
      </c>
    </row>
    <row r="8" customFormat="false" ht="15" hidden="false" customHeight="false" outlineLevel="0" collapsed="false">
      <c r="A8" s="3" t="s">
        <v>44</v>
      </c>
      <c r="B8" s="3" t="s">
        <v>45</v>
      </c>
      <c r="C8" s="25" t="n">
        <v>2027</v>
      </c>
      <c r="D8" s="3" t="s">
        <v>46</v>
      </c>
      <c r="E8" s="17" t="s">
        <v>47</v>
      </c>
    </row>
    <row r="9" customFormat="false" ht="15" hidden="false" customHeight="false" outlineLevel="0" collapsed="false">
      <c r="A9" s="3" t="s">
        <v>48</v>
      </c>
      <c r="B9" s="3" t="s">
        <v>49</v>
      </c>
      <c r="C9" s="26" t="n">
        <v>50000</v>
      </c>
      <c r="D9" s="3" t="s">
        <v>46</v>
      </c>
      <c r="E9" s="17" t="s">
        <v>50</v>
      </c>
    </row>
    <row r="10" customFormat="false" ht="15" hidden="false" customHeight="false" outlineLevel="0" collapsed="false">
      <c r="A10" s="3" t="s">
        <v>51</v>
      </c>
      <c r="B10" s="3" t="s">
        <v>52</v>
      </c>
      <c r="C10" s="27" t="n">
        <v>0.21</v>
      </c>
      <c r="D10" s="3" t="s">
        <v>53</v>
      </c>
      <c r="E10" s="17" t="s">
        <v>54</v>
      </c>
    </row>
    <row r="11" customFormat="false" ht="15" hidden="false" customHeight="false" outlineLevel="0" collapsed="false">
      <c r="A11" s="3" t="s">
        <v>55</v>
      </c>
      <c r="B11" s="3" t="s">
        <v>52</v>
      </c>
      <c r="C11" s="27" t="n">
        <v>0.158</v>
      </c>
      <c r="D11" s="3" t="s">
        <v>53</v>
      </c>
      <c r="E11" s="17" t="s">
        <v>56</v>
      </c>
    </row>
    <row r="12" customFormat="false" ht="15" hidden="false" customHeight="false" outlineLevel="0" collapsed="false">
      <c r="A12" s="3" t="s">
        <v>57</v>
      </c>
      <c r="B12" s="3" t="s">
        <v>58</v>
      </c>
      <c r="C12" s="28" t="n">
        <v>47</v>
      </c>
      <c r="D12" s="3" t="s">
        <v>53</v>
      </c>
      <c r="E12" s="17" t="s">
        <v>56</v>
      </c>
    </row>
    <row r="13" customFormat="false" ht="15" hidden="false" customHeight="false" outlineLevel="0" collapsed="false">
      <c r="A13" s="3" t="s">
        <v>59</v>
      </c>
      <c r="B13" s="3" t="s">
        <v>52</v>
      </c>
      <c r="C13" s="27" t="n">
        <v>0.09</v>
      </c>
      <c r="D13" s="3" t="s">
        <v>60</v>
      </c>
      <c r="E13" s="17" t="s">
        <v>61</v>
      </c>
    </row>
    <row r="14" customFormat="false" ht="15" hidden="false" customHeight="false" outlineLevel="0" collapsed="false">
      <c r="A14" s="3" t="s">
        <v>62</v>
      </c>
      <c r="B14" s="3" t="s">
        <v>63</v>
      </c>
      <c r="C14" s="27" t="n">
        <v>0.26</v>
      </c>
      <c r="D14" s="3" t="s">
        <v>60</v>
      </c>
      <c r="E14" s="17" t="s">
        <v>64</v>
      </c>
    </row>
    <row r="15" customFormat="false" ht="15" hidden="false" customHeight="false" outlineLevel="0" collapsed="false">
      <c r="A15" s="3" t="s">
        <v>65</v>
      </c>
      <c r="B15" s="3" t="s">
        <v>66</v>
      </c>
      <c r="C15" s="27" t="n">
        <v>0.005</v>
      </c>
      <c r="D15" s="3" t="s">
        <v>46</v>
      </c>
      <c r="E15" s="17" t="s">
        <v>67</v>
      </c>
    </row>
    <row r="16" customFormat="false" ht="15" hidden="false" customHeight="false" outlineLevel="0" collapsed="false">
      <c r="A16" s="3" t="s">
        <v>68</v>
      </c>
      <c r="B16" s="3" t="s">
        <v>69</v>
      </c>
      <c r="C16" s="29" t="n">
        <v>0.03</v>
      </c>
      <c r="D16" s="3" t="s">
        <v>46</v>
      </c>
      <c r="E16" s="17" t="s">
        <v>70</v>
      </c>
    </row>
    <row r="17" customFormat="false" ht="15" hidden="false" customHeight="false" outlineLevel="0" collapsed="false">
      <c r="A17" s="3" t="s">
        <v>71</v>
      </c>
      <c r="B17" s="3" t="s">
        <v>72</v>
      </c>
      <c r="C17" s="26" t="n">
        <v>450</v>
      </c>
      <c r="D17" s="3" t="s">
        <v>46</v>
      </c>
      <c r="E17" s="17" t="s">
        <v>73</v>
      </c>
    </row>
    <row r="18" customFormat="false" ht="15" hidden="false" customHeight="false" outlineLevel="0" collapsed="false">
      <c r="A18" s="3" t="s">
        <v>74</v>
      </c>
      <c r="B18" s="3" t="s">
        <v>75</v>
      </c>
      <c r="C18" s="30" t="n">
        <v>2</v>
      </c>
      <c r="D18" s="3" t="s">
        <v>46</v>
      </c>
      <c r="E18" s="17" t="s">
        <v>76</v>
      </c>
    </row>
    <row r="19" customFormat="false" ht="15" hidden="false" customHeight="false" outlineLevel="0" collapsed="false">
      <c r="A19" s="3" t="s">
        <v>77</v>
      </c>
      <c r="B19" s="3" t="s">
        <v>78</v>
      </c>
      <c r="C19" s="28" t="n">
        <v>1.15</v>
      </c>
      <c r="D19" s="3" t="s">
        <v>46</v>
      </c>
      <c r="E19" s="17" t="s">
        <v>79</v>
      </c>
    </row>
    <row r="20" customFormat="false" ht="15" hidden="false" customHeight="false" outlineLevel="0" collapsed="false">
      <c r="A20" s="3" t="s">
        <v>80</v>
      </c>
      <c r="B20" s="3" t="s">
        <v>81</v>
      </c>
      <c r="C20" s="30" t="n">
        <v>10</v>
      </c>
      <c r="D20" s="3" t="s">
        <v>46</v>
      </c>
      <c r="E20" s="17" t="s">
        <v>82</v>
      </c>
    </row>
    <row r="21" customFormat="false" ht="15" hidden="false" customHeight="false" outlineLevel="0" collapsed="false">
      <c r="A21" s="3" t="s">
        <v>83</v>
      </c>
      <c r="B21" s="3" t="s">
        <v>84</v>
      </c>
      <c r="C21" s="30" t="n">
        <v>4</v>
      </c>
      <c r="D21" s="3" t="s">
        <v>46</v>
      </c>
      <c r="E21" s="17" t="s">
        <v>85</v>
      </c>
    </row>
    <row r="22" customFormat="false" ht="15" hidden="false" customHeight="false" outlineLevel="0" collapsed="false">
      <c r="A22" s="3" t="s">
        <v>86</v>
      </c>
      <c r="B22" s="3" t="s">
        <v>87</v>
      </c>
      <c r="C22" s="30" t="n">
        <v>6</v>
      </c>
      <c r="D22" s="3" t="s">
        <v>46</v>
      </c>
      <c r="E22" s="17" t="s">
        <v>88</v>
      </c>
    </row>
    <row r="23" customFormat="false" ht="15" hidden="false" customHeight="false" outlineLevel="0" collapsed="false">
      <c r="A23" s="3" t="s">
        <v>89</v>
      </c>
      <c r="B23" s="3" t="s">
        <v>52</v>
      </c>
      <c r="C23" s="27" t="n">
        <v>0.5</v>
      </c>
      <c r="D23" s="3" t="s">
        <v>46</v>
      </c>
      <c r="E23" s="17" t="s">
        <v>90</v>
      </c>
    </row>
    <row r="24" customFormat="false" ht="15" hidden="false" customHeight="false" outlineLevel="0" collapsed="false">
      <c r="A24" s="3" t="s">
        <v>91</v>
      </c>
      <c r="B24" s="3" t="s">
        <v>92</v>
      </c>
      <c r="C24" s="30" t="n">
        <v>45</v>
      </c>
      <c r="D24" s="3" t="s">
        <v>46</v>
      </c>
      <c r="E24" s="17" t="s">
        <v>93</v>
      </c>
    </row>
    <row r="25" customFormat="false" ht="15" hidden="false" customHeight="false" outlineLevel="0" collapsed="false">
      <c r="A25" s="3" t="s">
        <v>94</v>
      </c>
      <c r="B25" s="3" t="s">
        <v>92</v>
      </c>
      <c r="C25" s="30" t="n">
        <v>30</v>
      </c>
      <c r="D25" s="3" t="s">
        <v>46</v>
      </c>
      <c r="E25" s="17"/>
    </row>
    <row r="26" customFormat="false" ht="15" hidden="false" customHeight="false" outlineLevel="0" collapsed="false">
      <c r="A26" s="3" t="s">
        <v>95</v>
      </c>
      <c r="B26" s="3" t="s">
        <v>96</v>
      </c>
      <c r="C26" s="25" t="n">
        <v>1</v>
      </c>
      <c r="D26" s="3" t="s">
        <v>46</v>
      </c>
      <c r="E26" s="17" t="s">
        <v>97</v>
      </c>
    </row>
    <row r="27" customFormat="false" ht="15" hidden="false" customHeight="false" outlineLevel="0" collapsed="false">
      <c r="A27" s="3" t="s">
        <v>98</v>
      </c>
      <c r="B27" s="3" t="s">
        <v>99</v>
      </c>
      <c r="C27" s="28" t="n">
        <v>0.25</v>
      </c>
      <c r="D27" s="3" t="s">
        <v>46</v>
      </c>
      <c r="E27" s="17"/>
    </row>
    <row r="28" customFormat="false" ht="15" hidden="false" customHeight="false" outlineLevel="0" collapsed="false">
      <c r="A28" s="3" t="s">
        <v>100</v>
      </c>
      <c r="B28" s="3" t="s">
        <v>52</v>
      </c>
      <c r="C28" s="27" t="n">
        <v>0</v>
      </c>
      <c r="D28" s="3" t="s">
        <v>46</v>
      </c>
      <c r="E28" s="17" t="s">
        <v>101</v>
      </c>
    </row>
    <row r="29" customFormat="false" ht="15" hidden="false" customHeight="false" outlineLevel="0" collapsed="false">
      <c r="A29" s="3" t="s">
        <v>102</v>
      </c>
      <c r="B29" s="3" t="s">
        <v>52</v>
      </c>
      <c r="C29" s="27" t="n">
        <v>0.1</v>
      </c>
      <c r="D29" s="3" t="s">
        <v>46</v>
      </c>
      <c r="E29" s="17" t="s">
        <v>103</v>
      </c>
    </row>
    <row r="30" customFormat="false" ht="15" hidden="false" customHeight="false" outlineLevel="0" collapsed="false">
      <c r="A30" s="3" t="s">
        <v>104</v>
      </c>
      <c r="B30" s="3" t="s">
        <v>52</v>
      </c>
      <c r="C30" s="27" t="n">
        <v>0.25</v>
      </c>
      <c r="D30" s="3" t="s">
        <v>60</v>
      </c>
      <c r="E30" s="17" t="s">
        <v>105</v>
      </c>
    </row>
    <row r="31" customFormat="false" ht="15" hidden="false" customHeight="false" outlineLevel="0" collapsed="false">
      <c r="A31" s="3" t="s">
        <v>106</v>
      </c>
      <c r="B31" s="3" t="s">
        <v>52</v>
      </c>
      <c r="C31" s="27" t="n">
        <v>0.07</v>
      </c>
      <c r="D31" s="3" t="s">
        <v>46</v>
      </c>
      <c r="E31" s="17" t="s">
        <v>107</v>
      </c>
    </row>
    <row r="32" customFormat="false" ht="15" hidden="false" customHeight="false" outlineLevel="0" collapsed="false">
      <c r="A32" s="3" t="s">
        <v>108</v>
      </c>
      <c r="B32" s="3" t="s">
        <v>49</v>
      </c>
      <c r="C32" s="26" t="n">
        <v>5000</v>
      </c>
      <c r="D32" s="3" t="s">
        <v>46</v>
      </c>
      <c r="E32" s="17"/>
    </row>
    <row r="33" customFormat="false" ht="15" hidden="false" customHeight="false" outlineLevel="0" collapsed="false">
      <c r="A33" s="3" t="s">
        <v>109</v>
      </c>
      <c r="B33" s="3" t="s">
        <v>110</v>
      </c>
      <c r="C33" s="30" t="n">
        <v>5</v>
      </c>
      <c r="D33" s="3" t="s">
        <v>46</v>
      </c>
      <c r="E33" s="17"/>
    </row>
    <row r="34" customFormat="false" ht="15" hidden="false" customHeight="false" outlineLevel="0" collapsed="false">
      <c r="A34" s="3" t="s">
        <v>111</v>
      </c>
      <c r="B34" s="3" t="s">
        <v>52</v>
      </c>
      <c r="C34" s="27" t="n">
        <v>0.18</v>
      </c>
      <c r="D34" s="3" t="s">
        <v>46</v>
      </c>
      <c r="E34" s="17" t="s">
        <v>112</v>
      </c>
    </row>
    <row r="35" customFormat="false" ht="15" hidden="false" customHeight="false" outlineLevel="0" collapsed="false">
      <c r="A35" s="3" t="s">
        <v>113</v>
      </c>
      <c r="B35" s="3" t="s">
        <v>114</v>
      </c>
      <c r="C35" s="31" t="n">
        <v>5</v>
      </c>
      <c r="D35" s="3" t="s">
        <v>46</v>
      </c>
      <c r="E35" s="17" t="s">
        <v>115</v>
      </c>
    </row>
    <row r="37" customFormat="false" ht="15" hidden="false" customHeight="false" outlineLevel="0" collapsed="false">
      <c r="A37" s="23" t="s">
        <v>116</v>
      </c>
      <c r="B37" s="24"/>
      <c r="C37" s="24"/>
      <c r="D37" s="24"/>
      <c r="E37" s="24"/>
      <c r="F37" s="24"/>
      <c r="G37" s="24"/>
      <c r="H37" s="24"/>
      <c r="I37" s="24"/>
    </row>
    <row r="38" customFormat="false" ht="15" hidden="false" customHeight="false" outlineLevel="0" collapsed="false">
      <c r="A38" s="5" t="s">
        <v>40</v>
      </c>
      <c r="B38" s="5" t="s">
        <v>41</v>
      </c>
      <c r="C38" s="5" t="s">
        <v>24</v>
      </c>
      <c r="D38" s="5" t="s">
        <v>25</v>
      </c>
      <c r="E38" s="5" t="s">
        <v>26</v>
      </c>
      <c r="F38" s="5" t="s">
        <v>27</v>
      </c>
      <c r="G38" s="5" t="s">
        <v>117</v>
      </c>
      <c r="H38" s="5" t="s">
        <v>42</v>
      </c>
      <c r="I38" s="5" t="s">
        <v>43</v>
      </c>
    </row>
    <row r="39" customFormat="false" ht="15" hidden="false" customHeight="false" outlineLevel="0" collapsed="false">
      <c r="A39" s="3" t="s">
        <v>118</v>
      </c>
      <c r="B39" s="3" t="s">
        <v>69</v>
      </c>
      <c r="C39" s="29" t="n">
        <v>20</v>
      </c>
      <c r="D39" s="29" t="n">
        <v>24</v>
      </c>
      <c r="E39" s="29" t="n">
        <v>28</v>
      </c>
      <c r="F39" s="29" t="n">
        <v>24</v>
      </c>
      <c r="G39" s="10" t="n">
        <f aca="false">INDEX(C39:F39,Assumptions!$C$4)</f>
        <v>24</v>
      </c>
      <c r="H39" s="3" t="s">
        <v>46</v>
      </c>
      <c r="I39" s="17" t="s">
        <v>119</v>
      </c>
    </row>
    <row r="40" customFormat="false" ht="15" hidden="false" customHeight="false" outlineLevel="0" collapsed="false">
      <c r="A40" s="3" t="s">
        <v>120</v>
      </c>
      <c r="B40" s="3" t="s">
        <v>121</v>
      </c>
      <c r="C40" s="28" t="n">
        <v>7</v>
      </c>
      <c r="D40" s="28" t="n">
        <v>6</v>
      </c>
      <c r="E40" s="28" t="n">
        <v>5</v>
      </c>
      <c r="F40" s="28" t="n">
        <v>7.5</v>
      </c>
      <c r="G40" s="11" t="n">
        <f aca="false">INDEX(C40:F40,Assumptions!$C$4)</f>
        <v>6</v>
      </c>
      <c r="H40" s="12" t="s">
        <v>122</v>
      </c>
      <c r="I40" s="17" t="s">
        <v>123</v>
      </c>
    </row>
    <row r="41" customFormat="false" ht="15" hidden="false" customHeight="false" outlineLevel="0" collapsed="false">
      <c r="A41" s="3" t="s">
        <v>124</v>
      </c>
      <c r="B41" s="3" t="s">
        <v>114</v>
      </c>
      <c r="C41" s="28" t="n">
        <v>1.1</v>
      </c>
      <c r="D41" s="28" t="n">
        <v>1</v>
      </c>
      <c r="E41" s="28" t="n">
        <v>0.9</v>
      </c>
      <c r="F41" s="28" t="n">
        <v>1.2</v>
      </c>
      <c r="G41" s="11" t="n">
        <f aca="false">INDEX(C41:F41,Assumptions!$C$4)</f>
        <v>1</v>
      </c>
      <c r="H41" s="3" t="s">
        <v>46</v>
      </c>
      <c r="I41" s="17"/>
    </row>
    <row r="42" customFormat="false" ht="15" hidden="false" customHeight="false" outlineLevel="0" collapsed="false">
      <c r="A42" s="3" t="s">
        <v>125</v>
      </c>
      <c r="B42" s="3" t="s">
        <v>69</v>
      </c>
      <c r="C42" s="29" t="n">
        <v>0.3</v>
      </c>
      <c r="D42" s="29" t="n">
        <v>0.25</v>
      </c>
      <c r="E42" s="29" t="n">
        <v>0.2</v>
      </c>
      <c r="F42" s="29" t="n">
        <v>0.35</v>
      </c>
      <c r="G42" s="10" t="n">
        <f aca="false">INDEX(C42:F42,Assumptions!$C$4)</f>
        <v>0.25</v>
      </c>
      <c r="H42" s="3" t="s">
        <v>46</v>
      </c>
      <c r="I42" s="17"/>
    </row>
    <row r="43" customFormat="false" ht="15" hidden="false" customHeight="false" outlineLevel="0" collapsed="false">
      <c r="A43" s="3" t="s">
        <v>126</v>
      </c>
      <c r="B43" s="3" t="s">
        <v>69</v>
      </c>
      <c r="C43" s="29" t="n">
        <v>0.7</v>
      </c>
      <c r="D43" s="29" t="n">
        <v>0.55</v>
      </c>
      <c r="E43" s="29" t="n">
        <v>0.4</v>
      </c>
      <c r="F43" s="29" t="n">
        <v>0.9</v>
      </c>
      <c r="G43" s="10" t="n">
        <f aca="false">INDEX(C43:F43,Assumptions!$C$4)</f>
        <v>0.55</v>
      </c>
      <c r="H43" s="3" t="s">
        <v>46</v>
      </c>
      <c r="I43" s="17" t="s">
        <v>127</v>
      </c>
    </row>
    <row r="44" customFormat="false" ht="15" hidden="false" customHeight="false" outlineLevel="0" collapsed="false">
      <c r="A44" s="3" t="s">
        <v>128</v>
      </c>
      <c r="B44" s="3" t="s">
        <v>69</v>
      </c>
      <c r="C44" s="29" t="n">
        <v>0.4</v>
      </c>
      <c r="D44" s="29" t="n">
        <v>0.35</v>
      </c>
      <c r="E44" s="29" t="n">
        <v>0.3</v>
      </c>
      <c r="F44" s="29" t="n">
        <v>0.4</v>
      </c>
      <c r="G44" s="10" t="n">
        <f aca="false">INDEX(C44:F44,Assumptions!$C$4)</f>
        <v>0.35</v>
      </c>
      <c r="H44" s="12" t="s">
        <v>122</v>
      </c>
      <c r="I44" s="17" t="s">
        <v>129</v>
      </c>
    </row>
    <row r="45" customFormat="false" ht="15" hidden="false" customHeight="false" outlineLevel="0" collapsed="false">
      <c r="A45" s="3" t="s">
        <v>130</v>
      </c>
      <c r="B45" s="3" t="s">
        <v>131</v>
      </c>
      <c r="C45" s="27" t="n">
        <v>0.06</v>
      </c>
      <c r="D45" s="27" t="n">
        <v>0.05</v>
      </c>
      <c r="E45" s="27" t="n">
        <v>0.045</v>
      </c>
      <c r="F45" s="27" t="n">
        <v>0.06</v>
      </c>
      <c r="G45" s="8" t="n">
        <f aca="false">INDEX(C45:F45,Assumptions!$C$4)</f>
        <v>0.05</v>
      </c>
      <c r="H45" s="3" t="s">
        <v>46</v>
      </c>
      <c r="I45" s="17" t="s">
        <v>132</v>
      </c>
    </row>
    <row r="46" customFormat="false" ht="15" hidden="false" customHeight="false" outlineLevel="0" collapsed="false">
      <c r="A46" s="3" t="s">
        <v>133</v>
      </c>
      <c r="B46" s="3" t="s">
        <v>134</v>
      </c>
      <c r="C46" s="27" t="n">
        <v>0.05</v>
      </c>
      <c r="D46" s="27" t="n">
        <v>0.03</v>
      </c>
      <c r="E46" s="27" t="n">
        <v>0.02</v>
      </c>
      <c r="F46" s="27" t="n">
        <v>0.08</v>
      </c>
      <c r="G46" s="8" t="n">
        <f aca="false">INDEX(C46:F46,Assumptions!$C$4)</f>
        <v>0.03</v>
      </c>
      <c r="H46" s="3" t="s">
        <v>46</v>
      </c>
      <c r="I46" s="17"/>
    </row>
    <row r="47" customFormat="false" ht="15" hidden="false" customHeight="false" outlineLevel="0" collapsed="false">
      <c r="A47" s="3" t="s">
        <v>135</v>
      </c>
      <c r="B47" s="3" t="s">
        <v>136</v>
      </c>
      <c r="C47" s="27" t="n">
        <v>0.04</v>
      </c>
      <c r="D47" s="27" t="n">
        <v>0.03</v>
      </c>
      <c r="E47" s="27" t="n">
        <v>0.025</v>
      </c>
      <c r="F47" s="27" t="n">
        <v>0.04</v>
      </c>
      <c r="G47" s="8" t="n">
        <f aca="false">INDEX(C47:F47,Assumptions!$C$4)</f>
        <v>0.03</v>
      </c>
      <c r="H47" s="3" t="s">
        <v>46</v>
      </c>
      <c r="I47" s="17" t="s">
        <v>137</v>
      </c>
    </row>
    <row r="48" customFormat="false" ht="15" hidden="false" customHeight="false" outlineLevel="0" collapsed="false">
      <c r="A48" s="3" t="s">
        <v>138</v>
      </c>
      <c r="B48" s="3" t="s">
        <v>87</v>
      </c>
      <c r="C48" s="30" t="n">
        <v>6</v>
      </c>
      <c r="D48" s="30" t="n">
        <v>5</v>
      </c>
      <c r="E48" s="30" t="n">
        <v>4</v>
      </c>
      <c r="F48" s="30" t="n">
        <v>10</v>
      </c>
      <c r="G48" s="6" t="n">
        <f aca="false">INDEX(C48:F48,Assumptions!$C$4)</f>
        <v>5</v>
      </c>
      <c r="H48" s="3" t="s">
        <v>46</v>
      </c>
      <c r="I48" s="17"/>
    </row>
    <row r="49" customFormat="false" ht="15" hidden="false" customHeight="false" outlineLevel="0" collapsed="false">
      <c r="A49" s="3" t="s">
        <v>139</v>
      </c>
      <c r="B49" s="3" t="s">
        <v>45</v>
      </c>
      <c r="C49" s="25" t="n">
        <v>9999</v>
      </c>
      <c r="D49" s="25" t="n">
        <v>9999</v>
      </c>
      <c r="E49" s="25" t="n">
        <v>9999</v>
      </c>
      <c r="F49" s="25" t="n">
        <v>2029</v>
      </c>
      <c r="G49" s="9" t="n">
        <f aca="false">INDEX(C49:F49,Assumptions!$C$4)</f>
        <v>9999</v>
      </c>
      <c r="H49" s="3" t="s">
        <v>46</v>
      </c>
      <c r="I49" s="17" t="s">
        <v>140</v>
      </c>
    </row>
    <row r="50" customFormat="false" ht="15" hidden="false" customHeight="false" outlineLevel="0" collapsed="false">
      <c r="A50" s="3" t="s">
        <v>141</v>
      </c>
      <c r="B50" s="3" t="s">
        <v>114</v>
      </c>
      <c r="C50" s="28" t="n">
        <v>1.15</v>
      </c>
      <c r="D50" s="28" t="n">
        <v>1</v>
      </c>
      <c r="E50" s="28" t="n">
        <v>1.1</v>
      </c>
      <c r="F50" s="28" t="n">
        <v>1.2</v>
      </c>
      <c r="G50" s="11" t="n">
        <f aca="false">INDEX(C50:F50,Assumptions!$C$4)</f>
        <v>1</v>
      </c>
      <c r="H50" s="3" t="s">
        <v>46</v>
      </c>
      <c r="I50" s="17" t="s">
        <v>142</v>
      </c>
    </row>
  </sheetData>
  <dataValidations count="1">
    <dataValidation allowBlank="false" errorStyle="stop" operator="between" showDropDown="false" showErrorMessage="false" showInputMessage="false" sqref="C4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28.35" hidden="false" customHeight="false" outlineLevel="0" collapsed="false">
      <c r="A4" s="5" t="s">
        <v>145</v>
      </c>
      <c r="B4" s="5" t="s">
        <v>41</v>
      </c>
      <c r="C4" s="5" t="s">
        <v>146</v>
      </c>
      <c r="D4" s="5" t="s">
        <v>147</v>
      </c>
      <c r="E4" s="5" t="s">
        <v>42</v>
      </c>
      <c r="F4" s="5" t="s">
        <v>148</v>
      </c>
    </row>
    <row r="5" customFormat="false" ht="15" hidden="false" customHeight="false" outlineLevel="0" collapsed="false">
      <c r="A5" s="3" t="s">
        <v>149</v>
      </c>
      <c r="B5" s="3" t="s">
        <v>150</v>
      </c>
      <c r="C5" s="29" t="n">
        <v>11.5</v>
      </c>
      <c r="D5" s="32" t="n">
        <f aca="false">C5/Assumptions!$C$20</f>
        <v>1.15</v>
      </c>
      <c r="E5" s="3" t="s">
        <v>46</v>
      </c>
      <c r="F5" s="17" t="s">
        <v>151</v>
      </c>
    </row>
    <row r="6" customFormat="false" ht="15" hidden="false" customHeight="false" outlineLevel="0" collapsed="false">
      <c r="A6" s="3" t="s">
        <v>152</v>
      </c>
      <c r="B6" s="3" t="s">
        <v>150</v>
      </c>
      <c r="C6" s="29" t="n">
        <v>1.2</v>
      </c>
      <c r="D6" s="32" t="n">
        <f aca="false">C6/Assumptions!$C$20</f>
        <v>0.12</v>
      </c>
      <c r="E6" s="3" t="s">
        <v>46</v>
      </c>
      <c r="F6" s="17" t="s">
        <v>153</v>
      </c>
    </row>
    <row r="7" customFormat="false" ht="15" hidden="false" customHeight="false" outlineLevel="0" collapsed="false">
      <c r="A7" s="3" t="s">
        <v>154</v>
      </c>
      <c r="B7" s="3" t="s">
        <v>150</v>
      </c>
      <c r="C7" s="29" t="n">
        <v>0.4</v>
      </c>
      <c r="D7" s="32" t="n">
        <f aca="false">C7/Assumptions!$C$20</f>
        <v>0.04</v>
      </c>
      <c r="E7" s="3" t="s">
        <v>46</v>
      </c>
      <c r="F7" s="17"/>
    </row>
    <row r="8" customFormat="false" ht="15" hidden="false" customHeight="false" outlineLevel="0" collapsed="false">
      <c r="A8" s="3" t="s">
        <v>155</v>
      </c>
      <c r="B8" s="3" t="s">
        <v>150</v>
      </c>
      <c r="C8" s="29" t="n">
        <v>0.6</v>
      </c>
      <c r="D8" s="32" t="n">
        <f aca="false">C8/Assumptions!$C$20</f>
        <v>0.06</v>
      </c>
      <c r="E8" s="3" t="s">
        <v>46</v>
      </c>
      <c r="F8" s="17"/>
    </row>
    <row r="9" customFormat="false" ht="15" hidden="false" customHeight="false" outlineLevel="0" collapsed="false">
      <c r="A9" s="3" t="s">
        <v>156</v>
      </c>
      <c r="B9" s="3" t="s">
        <v>150</v>
      </c>
      <c r="C9" s="29" t="n">
        <v>0.8</v>
      </c>
      <c r="D9" s="32" t="n">
        <f aca="false">C9/Assumptions!$C$20</f>
        <v>0.08</v>
      </c>
      <c r="E9" s="3" t="s">
        <v>46</v>
      </c>
      <c r="F9" s="17" t="s">
        <v>157</v>
      </c>
    </row>
    <row r="10" customFormat="false" ht="15" hidden="false" customHeight="false" outlineLevel="0" collapsed="false">
      <c r="A10" s="3" t="s">
        <v>158</v>
      </c>
      <c r="B10" s="3" t="s">
        <v>150</v>
      </c>
      <c r="C10" s="29" t="n">
        <v>0.7</v>
      </c>
      <c r="D10" s="32" t="n">
        <f aca="false">C10/Assumptions!$C$20</f>
        <v>0.07</v>
      </c>
      <c r="E10" s="3" t="s">
        <v>46</v>
      </c>
      <c r="F10" s="17" t="s">
        <v>159</v>
      </c>
    </row>
    <row r="11" customFormat="false" ht="15" hidden="false" customHeight="false" outlineLevel="0" collapsed="false">
      <c r="A11" s="3" t="s">
        <v>160</v>
      </c>
      <c r="B11" s="3" t="s">
        <v>150</v>
      </c>
      <c r="C11" s="29" t="n">
        <v>0.5</v>
      </c>
      <c r="D11" s="32" t="n">
        <f aca="false">C11/Assumptions!$C$20</f>
        <v>0.05</v>
      </c>
      <c r="E11" s="3" t="s">
        <v>46</v>
      </c>
      <c r="F11" s="17" t="s">
        <v>161</v>
      </c>
    </row>
    <row r="12" customFormat="false" ht="15" hidden="false" customHeight="false" outlineLevel="0" collapsed="false">
      <c r="A12" s="3" t="s">
        <v>162</v>
      </c>
      <c r="B12" s="3" t="s">
        <v>150</v>
      </c>
      <c r="C12" s="29" t="n">
        <v>0.8</v>
      </c>
      <c r="D12" s="32" t="n">
        <f aca="false">C12/Assumptions!$C$20</f>
        <v>0.08</v>
      </c>
      <c r="E12" s="3" t="s">
        <v>46</v>
      </c>
      <c r="F12" s="17"/>
    </row>
    <row r="13" customFormat="false" ht="15" hidden="false" customHeight="false" outlineLevel="0" collapsed="false">
      <c r="A13" s="3" t="s">
        <v>163</v>
      </c>
      <c r="C13" s="10" t="n">
        <f aca="false">SUM(C5:C12)</f>
        <v>16.5</v>
      </c>
      <c r="D13" s="10" t="n">
        <f aca="false">SUM(D5:D12)</f>
        <v>1.65</v>
      </c>
    </row>
    <row r="15" customFormat="false" ht="15" hidden="false" customHeight="false" outlineLevel="0" collapsed="false">
      <c r="A15" s="23" t="s">
        <v>164</v>
      </c>
      <c r="B15" s="24"/>
      <c r="C15" s="24"/>
      <c r="D15" s="24"/>
      <c r="E15" s="24"/>
      <c r="F15" s="24"/>
    </row>
    <row r="16" customFormat="false" ht="15" hidden="false" customHeight="false" outlineLevel="0" collapsed="false">
      <c r="A16" s="5" t="s">
        <v>165</v>
      </c>
      <c r="B16" s="5" t="s">
        <v>166</v>
      </c>
      <c r="C16" s="5" t="s">
        <v>167</v>
      </c>
      <c r="D16" s="5" t="s">
        <v>168</v>
      </c>
      <c r="E16" s="5" t="s">
        <v>169</v>
      </c>
      <c r="F16" s="5" t="s">
        <v>170</v>
      </c>
    </row>
    <row r="17" customFormat="false" ht="15" hidden="false" customHeight="false" outlineLevel="0" collapsed="false">
      <c r="A17" s="0" t="s">
        <v>171</v>
      </c>
      <c r="B17" s="32" t="n">
        <f aca="false">INDEX(Engine!$C$20:$Y$20,1,(Assumptions!$C$4-1)*6+1)</f>
        <v>5.21739130434783</v>
      </c>
      <c r="C17" s="32" t="n">
        <f aca="false">INDEX(Engine!$C$20:$Y$20,1,(Assumptions!$C$4-1)*6+2)</f>
        <v>5.21739130434783</v>
      </c>
      <c r="D17" s="32" t="n">
        <f aca="false">INDEX(Engine!$C$20:$Y$20,1,(Assumptions!$C$4-1)*6+3)</f>
        <v>5.21739130434783</v>
      </c>
      <c r="E17" s="32" t="n">
        <f aca="false">INDEX(Engine!$C$20:$Y$20,1,(Assumptions!$C$4-1)*6+4)</f>
        <v>5.21739130434783</v>
      </c>
      <c r="F17" s="32" t="n">
        <f aca="false">INDEX(Engine!$C$20:$Y$20,1,(Assumptions!$C$4-1)*6+5)</f>
        <v>5.21739130434783</v>
      </c>
    </row>
    <row r="18" customFormat="false" ht="15" hidden="false" customHeight="false" outlineLevel="0" collapsed="false">
      <c r="A18" s="0" t="s">
        <v>172</v>
      </c>
      <c r="B18" s="32" t="n">
        <f aca="false">INDEX(Engine!$C$21:$Y$21,1,(Assumptions!$C$4-1)*6+1)</f>
        <v>1.65</v>
      </c>
      <c r="C18" s="32" t="n">
        <f aca="false">INDEX(Engine!$C$21:$Y$21,1,(Assumptions!$C$4-1)*6+2)</f>
        <v>1.65</v>
      </c>
      <c r="D18" s="32" t="n">
        <f aca="false">INDEX(Engine!$C$21:$Y$21,1,(Assumptions!$C$4-1)*6+3)</f>
        <v>1.65</v>
      </c>
      <c r="E18" s="32" t="n">
        <f aca="false">INDEX(Engine!$C$21:$Y$21,1,(Assumptions!$C$4-1)*6+4)</f>
        <v>1.65</v>
      </c>
      <c r="F18" s="32" t="n">
        <f aca="false">INDEX(Engine!$C$21:$Y$21,1,(Assumptions!$C$4-1)*6+5)</f>
        <v>1.65</v>
      </c>
    </row>
    <row r="19" customFormat="false" ht="15" hidden="false" customHeight="false" outlineLevel="0" collapsed="false">
      <c r="A19" s="0" t="s">
        <v>173</v>
      </c>
      <c r="B19" s="32" t="n">
        <f aca="false">INDEX(Engine!$C$22:$Y$22,1,(Assumptions!$C$4-1)*6+1)</f>
        <v>7.70572826086957</v>
      </c>
      <c r="C19" s="32" t="n">
        <f aca="false">INDEX(Engine!$C$22:$Y$22,1,(Assumptions!$C$4-1)*6+2)</f>
        <v>7.70572826086957</v>
      </c>
      <c r="D19" s="32" t="n">
        <f aca="false">INDEX(Engine!$C$22:$Y$22,1,(Assumptions!$C$4-1)*6+3)</f>
        <v>7.70572826086957</v>
      </c>
      <c r="E19" s="32" t="n">
        <f aca="false">INDEX(Engine!$C$22:$Y$22,1,(Assumptions!$C$4-1)*6+4)</f>
        <v>7.70572826086957</v>
      </c>
      <c r="F19" s="32" t="n">
        <f aca="false">INDEX(Engine!$C$22:$Y$22,1,(Assumptions!$C$4-1)*6+5)</f>
        <v>7.70572826086957</v>
      </c>
    </row>
    <row r="20" customFormat="false" ht="15" hidden="false" customHeight="false" outlineLevel="0" collapsed="false">
      <c r="A20" s="0" t="s">
        <v>174</v>
      </c>
      <c r="B20" s="32" t="n">
        <f aca="false">INDEX(Engine!$C$23:$Y$23,1,(Assumptions!$C$4-1)*6+1)</f>
        <v>2.00348934782609</v>
      </c>
      <c r="C20" s="32" t="n">
        <f aca="false">INDEX(Engine!$C$23:$Y$23,1,(Assumptions!$C$4-1)*6+2)</f>
        <v>2.00348934782609</v>
      </c>
      <c r="D20" s="32" t="n">
        <f aca="false">INDEX(Engine!$C$23:$Y$23,1,(Assumptions!$C$4-1)*6+3)</f>
        <v>2.00348934782609</v>
      </c>
      <c r="E20" s="32" t="n">
        <f aca="false">INDEX(Engine!$C$23:$Y$23,1,(Assumptions!$C$4-1)*6+4)</f>
        <v>2.00348934782609</v>
      </c>
      <c r="F20" s="32" t="n">
        <f aca="false">INDEX(Engine!$C$23:$Y$23,1,(Assumptions!$C$4-1)*6+5)</f>
        <v>2.00348934782609</v>
      </c>
    </row>
    <row r="21" customFormat="false" ht="15" hidden="false" customHeight="false" outlineLevel="0" collapsed="false">
      <c r="A21" s="0" t="s">
        <v>175</v>
      </c>
      <c r="B21" s="10" t="n">
        <f aca="false">INDEX(Engine!$C$24:$Y$24,1,(Assumptions!$C$4-1)*6+1)</f>
        <v>10.0892176086957</v>
      </c>
      <c r="C21" s="10" t="n">
        <f aca="false">INDEX(Engine!$C$24:$Y$24,1,(Assumptions!$C$4-1)*6+2)</f>
        <v>10.0892176086957</v>
      </c>
      <c r="D21" s="10" t="n">
        <f aca="false">INDEX(Engine!$C$24:$Y$24,1,(Assumptions!$C$4-1)*6+3)</f>
        <v>10.0892176086957</v>
      </c>
      <c r="E21" s="10" t="n">
        <f aca="false">INDEX(Engine!$C$24:$Y$24,1,(Assumptions!$C$4-1)*6+4)</f>
        <v>10.0892176086957</v>
      </c>
      <c r="F21" s="10" t="n">
        <f aca="false">INDEX(Engine!$C$24:$Y$24,1,(Assumptions!$C$4-1)*6+5)</f>
        <v>10.0892176086957</v>
      </c>
    </row>
    <row r="22" customFormat="false" ht="15" hidden="false" customHeight="false" outlineLevel="0" collapsed="false">
      <c r="A22" s="0" t="s">
        <v>176</v>
      </c>
      <c r="B22" s="32" t="n">
        <f aca="false">INDEX(Engine!$C$25:$Y$25,1,(Assumptions!$C$4-1)*6+1)</f>
        <v>3.792</v>
      </c>
      <c r="C22" s="32" t="n">
        <f aca="false">INDEX(Engine!$C$25:$Y$25,1,(Assumptions!$C$4-1)*6+2)</f>
        <v>3.792</v>
      </c>
      <c r="D22" s="32" t="n">
        <f aca="false">INDEX(Engine!$C$25:$Y$25,1,(Assumptions!$C$4-1)*6+3)</f>
        <v>3.792</v>
      </c>
      <c r="E22" s="32" t="n">
        <f aca="false">INDEX(Engine!$C$25:$Y$25,1,(Assumptions!$C$4-1)*6+4)</f>
        <v>3.792</v>
      </c>
      <c r="F22" s="32" t="n">
        <f aca="false">INDEX(Engine!$C$25:$Y$25,1,(Assumptions!$C$4-1)*6+5)</f>
        <v>3.792</v>
      </c>
    </row>
    <row r="23" customFormat="false" ht="15" hidden="false" customHeight="false" outlineLevel="0" collapsed="false">
      <c r="A23" s="0" t="s">
        <v>177</v>
      </c>
      <c r="B23" s="10" t="n">
        <f aca="false">INDEX(Engine!$C$26:$Y$26,1,(Assumptions!$C$4-1)*6+1)</f>
        <v>1.74774059832877</v>
      </c>
      <c r="C23" s="10" t="n">
        <f aca="false">INDEX(Engine!$C$26:$Y$26,1,(Assumptions!$C$4-1)*6+2)</f>
        <v>1.74774059832877</v>
      </c>
      <c r="D23" s="10" t="n">
        <f aca="false">INDEX(Engine!$C$26:$Y$26,1,(Assumptions!$C$4-1)*6+3)</f>
        <v>1.74774059832877</v>
      </c>
      <c r="E23" s="10" t="n">
        <f aca="false">INDEX(Engine!$C$26:$Y$26,1,(Assumptions!$C$4-1)*6+4)</f>
        <v>1.74774059832877</v>
      </c>
      <c r="F23" s="10" t="n">
        <f aca="false">INDEX(Engine!$C$26:$Y$26,1,(Assumptions!$C$4-1)*6+5)</f>
        <v>1.74774059832877</v>
      </c>
    </row>
    <row r="25" customFormat="false" ht="15" hidden="false" customHeight="false" outlineLevel="0" collapsed="false">
      <c r="A25" s="3" t="s">
        <v>178</v>
      </c>
      <c r="C25" s="10" t="n">
        <f aca="false">C21*Assumptions!$C$20</f>
        <v>100.892176086957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4" customFormat="false" ht="15" hidden="false" customHeight="false" outlineLevel="0" collapsed="false">
      <c r="A4" s="3" t="s">
        <v>181</v>
      </c>
      <c r="C4" s="30" t="n">
        <v>3000</v>
      </c>
    </row>
    <row r="5" customFormat="false" ht="15" hidden="false" customHeight="false" outlineLevel="0" collapsed="false">
      <c r="A5" s="3" t="s">
        <v>182</v>
      </c>
      <c r="C5" s="32" t="n">
        <f aca="false">INDEX(Engine!$C$22:$Y$22,1,(Assumptions!$C$4-1)*6+2)</f>
        <v>7.70572826086957</v>
      </c>
    </row>
    <row r="6" customFormat="false" ht="15" hidden="false" customHeight="false" outlineLevel="0" collapsed="false">
      <c r="A6" s="3" t="s">
        <v>183</v>
      </c>
      <c r="C6" s="14" t="n">
        <f aca="false">C4*C5</f>
        <v>23117.1847826087</v>
      </c>
    </row>
    <row r="7" customFormat="false" ht="15" hidden="false" customHeight="false" outlineLevel="0" collapsed="false">
      <c r="A7" s="3" t="s">
        <v>184</v>
      </c>
      <c r="C7" s="14" t="n">
        <f aca="false">C6*Assumptions!$C$14</f>
        <v>6010.46804347826</v>
      </c>
    </row>
    <row r="8" customFormat="false" ht="15" hidden="false" customHeight="false" outlineLevel="0" collapsed="false">
      <c r="A8" s="3" t="s">
        <v>185</v>
      </c>
      <c r="C8" s="14" t="n">
        <f aca="false">C4*INDEX(Engine!$C$25:$Y$25,1,(Assumptions!$C$4-1)*6+2)*Assumptions!$C$26</f>
        <v>11376</v>
      </c>
    </row>
    <row r="9" customFormat="false" ht="15" hidden="false" customHeight="false" outlineLevel="0" collapsed="false">
      <c r="A9" s="3" t="s">
        <v>186</v>
      </c>
      <c r="C9" s="14" t="n">
        <f aca="false">C6+C7+C8</f>
        <v>40503.652826087</v>
      </c>
    </row>
    <row r="10" customFormat="false" ht="15" hidden="false" customHeight="false" outlineLevel="0" collapsed="false">
      <c r="A10" s="3" t="s">
        <v>187</v>
      </c>
      <c r="C10" s="14" t="n">
        <f aca="false">C9*Assumptions!$C$10</f>
        <v>8505.76709347826</v>
      </c>
    </row>
    <row r="11" customFormat="false" ht="15" hidden="false" customHeight="false" outlineLevel="0" collapsed="false">
      <c r="A11" s="3" t="s">
        <v>188</v>
      </c>
      <c r="C11" s="14" t="n">
        <f aca="false">Assumptions!$C$17</f>
        <v>450</v>
      </c>
    </row>
    <row r="12" customFormat="false" ht="15" hidden="false" customHeight="false" outlineLevel="0" collapsed="false">
      <c r="A12" s="3" t="s">
        <v>189</v>
      </c>
      <c r="C12" s="7" t="n">
        <f aca="false">C7+C8+C10+C11</f>
        <v>26342.2351369565</v>
      </c>
    </row>
    <row r="13" customFormat="false" ht="15" hidden="false" customHeight="false" outlineLevel="0" collapsed="false">
      <c r="A13" s="3" t="s">
        <v>190</v>
      </c>
      <c r="C13" s="14" t="n">
        <f aca="false">C7+C11</f>
        <v>6460.46804347826</v>
      </c>
    </row>
    <row r="14" customFormat="false" ht="15" hidden="false" customHeight="false" outlineLevel="0" collapsed="false">
      <c r="A14" s="3" t="s">
        <v>191</v>
      </c>
      <c r="C14" s="14" t="n">
        <f aca="false">C8</f>
        <v>11376</v>
      </c>
    </row>
    <row r="15" customFormat="false" ht="15" hidden="false" customHeight="false" outlineLevel="0" collapsed="false">
      <c r="A15" s="3" t="s">
        <v>192</v>
      </c>
      <c r="C15" s="14" t="n">
        <f aca="false">C10</f>
        <v>8505.76709347826</v>
      </c>
    </row>
    <row r="17" customFormat="false" ht="15" hidden="false" customHeight="false" outlineLevel="0" collapsed="false">
      <c r="A17" s="23" t="s">
        <v>193</v>
      </c>
      <c r="B17" s="24"/>
      <c r="C17" s="24"/>
      <c r="D17" s="24"/>
      <c r="E17" s="24"/>
      <c r="F17" s="24"/>
    </row>
    <row r="18" customFormat="false" ht="15" hidden="false" customHeight="false" outlineLevel="0" collapsed="false">
      <c r="A18" s="5" t="s">
        <v>194</v>
      </c>
      <c r="B18" s="5"/>
      <c r="C18" s="5" t="s">
        <v>69</v>
      </c>
      <c r="D18" s="5" t="s">
        <v>131</v>
      </c>
    </row>
    <row r="19" customFormat="false" ht="15" hidden="false" customHeight="false" outlineLevel="0" collapsed="false">
      <c r="A19" s="3" t="s">
        <v>195</v>
      </c>
      <c r="C19" s="32" t="n">
        <f aca="false">INDEX(Engine!$C$19:$Y$19,1,(Assumptions!$C$4-1)*6+2)*Assumptions!$C$10/(1+Assumptions!$C$10)</f>
        <v>4.16528925619835</v>
      </c>
      <c r="D19" s="15" t="n">
        <f aca="false">C19/INDEX(Engine!$C$19:$Y$19,1,(Assumptions!$C$4-1)*6+2)</f>
        <v>0.173553719008264</v>
      </c>
    </row>
    <row r="20" customFormat="false" ht="15" hidden="false" customHeight="false" outlineLevel="0" collapsed="false">
      <c r="A20" s="3" t="s">
        <v>196</v>
      </c>
      <c r="C20" s="32" t="n">
        <f aca="false">INDEX(Engine!$C$25:$Y$25,1,(Assumptions!$C$4-1)*6+2)</f>
        <v>3.792</v>
      </c>
      <c r="D20" s="15" t="n">
        <f aca="false">C20/INDEX(Engine!$C$19:$Y$19,1,(Assumptions!$C$4-1)*6+2)</f>
        <v>0.158</v>
      </c>
    </row>
    <row r="21" customFormat="false" ht="15" hidden="false" customHeight="false" outlineLevel="0" collapsed="false">
      <c r="A21" s="3" t="s">
        <v>197</v>
      </c>
      <c r="C21" s="32" t="n">
        <f aca="false">INDEX(Engine!$C$19:$Y$19,1,(Assumptions!$C$4-1)*6+2)*Assumptions!$C$13</f>
        <v>2.16</v>
      </c>
      <c r="D21" s="15" t="n">
        <f aca="false">C21/INDEX(Engine!$C$19:$Y$19,1,(Assumptions!$C$4-1)*6+2)</f>
        <v>0.09</v>
      </c>
    </row>
    <row r="22" customFormat="false" ht="15" hidden="false" customHeight="false" outlineLevel="0" collapsed="false">
      <c r="A22" s="3" t="s">
        <v>198</v>
      </c>
      <c r="C22" s="32" t="n">
        <f aca="false">INDEX(Engine!$C$19:$Y$19,1,(Assumptions!$C$4-1)*6+2)*Assumptions!$G$45</f>
        <v>1.2</v>
      </c>
      <c r="D22" s="15" t="n">
        <f aca="false">C22/INDEX(Engine!$C$19:$Y$19,1,(Assumptions!$C$4-1)*6+2)</f>
        <v>0.05</v>
      </c>
    </row>
    <row r="23" customFormat="false" ht="15" hidden="false" customHeight="false" outlineLevel="0" collapsed="false">
      <c r="A23" s="3" t="s">
        <v>199</v>
      </c>
      <c r="C23" s="32" t="n">
        <f aca="false">INDEX(Engine!$C$23:$Y$23,1,(Assumptions!$C$4-1)*6+2)</f>
        <v>2.00348934782609</v>
      </c>
      <c r="D23" s="15" t="n">
        <f aca="false">C23/INDEX(Engine!$C$19:$Y$19,1,(Assumptions!$C$4-1)*6+2)</f>
        <v>0.083478722826087</v>
      </c>
    </row>
    <row r="24" customFormat="false" ht="15" hidden="false" customHeight="false" outlineLevel="0" collapsed="false">
      <c r="A24" s="3" t="s">
        <v>200</v>
      </c>
      <c r="C24" s="32" t="n">
        <f aca="false">INDEX(Engine!$C$22:$Y$22,1,(Assumptions!$C$4-1)*6+2)</f>
        <v>7.70572826086957</v>
      </c>
      <c r="D24" s="15" t="n">
        <f aca="false">C24/INDEX(Engine!$C$19:$Y$19,1,(Assumptions!$C$4-1)*6+2)</f>
        <v>0.321072010869565</v>
      </c>
    </row>
    <row r="25" customFormat="false" ht="15" hidden="false" customHeight="false" outlineLevel="0" collapsed="false">
      <c r="A25" s="3" t="s">
        <v>201</v>
      </c>
      <c r="C25" s="32" t="n">
        <f aca="false">INDEX(Engine!$C$24:$Y$24,1,(Assumptions!$C$4-1)*6+2)-INDEX(Engine!$C$22:$Y$22,1,(Assumptions!$C$4-1)*6+2)-INDEX(Engine!$C$23:$Y$23,1,(Assumptions!$C$4-1)*6+2)</f>
        <v>0.38</v>
      </c>
      <c r="D25" s="15" t="n">
        <f aca="false">C25/INDEX(Engine!$C$19:$Y$19,1,(Assumptions!$C$4-1)*6+2)</f>
        <v>0.0158333333333333</v>
      </c>
    </row>
    <row r="26" customFormat="false" ht="15" hidden="false" customHeight="false" outlineLevel="0" collapsed="false">
      <c r="A26" s="3" t="s">
        <v>202</v>
      </c>
      <c r="C26" s="32" t="n">
        <f aca="false">(INDEX(Engine!$C$10:$Y$10,1,(Assumptions!$C$4-1)*6+2)-1)*(INDEX(Engine!$C$25:$Y$25,1,(Assumptions!$C$4-1)*6+2)+INDEX(Engine!$C$24:$Y$24,1,(Assumptions!$C$4-1)*6+2))</f>
        <v>0.845752536777232</v>
      </c>
      <c r="D26" s="15" t="n">
        <f aca="false">C26/INDEX(Engine!$C$19:$Y$19,1,(Assumptions!$C$4-1)*6+2)</f>
        <v>0.0352396890323847</v>
      </c>
    </row>
    <row r="27" customFormat="false" ht="15" hidden="false" customHeight="false" outlineLevel="0" collapsed="false">
      <c r="A27" s="3" t="s">
        <v>203</v>
      </c>
      <c r="C27" s="32" t="n">
        <f aca="false">(INDEX(Engine!$C$19:$Y$19,1,(Assumptions!$C$4-1)*6+2)/(1+Assumptions!$C$10)-INDEX(Engine!$C$19:$Y$19,1,(Assumptions!$C$4-1)*6+2)*(Assumptions!$C$13+Assumptions!$G$45))*Assumptions!$C$28</f>
        <v>0</v>
      </c>
      <c r="D27" s="15" t="n">
        <f aca="false">C27/INDEX(Engine!$C$19:$Y$19,1,(Assumptions!$C$4-1)*6+2)</f>
        <v>0</v>
      </c>
    </row>
    <row r="28" customFormat="false" ht="15" hidden="false" customHeight="false" outlineLevel="0" collapsed="false">
      <c r="A28" s="3" t="s">
        <v>204</v>
      </c>
      <c r="C28" s="10" t="n">
        <f aca="false">INDEX(Engine!$C$26:$Y$26,1,(Assumptions!$C$4-1)*6+2)</f>
        <v>1.74774059832877</v>
      </c>
      <c r="D28" s="15" t="n">
        <f aca="false">C28/INDEX(Engine!$C$19:$Y$19,1,(Assumptions!$C$4-1)*6+2)</f>
        <v>0.0728225249303655</v>
      </c>
    </row>
    <row r="29" customFormat="false" ht="15" hidden="false" customHeight="false" outlineLevel="0" collapsed="false">
      <c r="A29" s="3" t="s">
        <v>205</v>
      </c>
      <c r="C29" s="10" t="n">
        <f aca="false">SUM(C19:C28)</f>
        <v>24</v>
      </c>
      <c r="D29" s="8" t="n">
        <f aca="false">SUM(D19:D28)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</cols>
  <sheetData>
    <row r="1" customFormat="false" ht="19.7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15" hidden="false" customHeight="false" outlineLevel="0" collapsed="false">
      <c r="A4" s="5" t="s">
        <v>165</v>
      </c>
      <c r="B4" s="5" t="s">
        <v>208</v>
      </c>
      <c r="C4" s="5" t="s">
        <v>209</v>
      </c>
      <c r="D4" s="5" t="s">
        <v>210</v>
      </c>
      <c r="E4" s="5" t="s">
        <v>211</v>
      </c>
      <c r="F4" s="5" t="s">
        <v>212</v>
      </c>
      <c r="G4" s="5" t="s">
        <v>213</v>
      </c>
      <c r="H4" s="5" t="s">
        <v>214</v>
      </c>
    </row>
    <row r="5" customFormat="false" ht="15" hidden="false" customHeight="false" outlineLevel="0" collapsed="false">
      <c r="A5" s="0" t="s">
        <v>215</v>
      </c>
      <c r="B5" s="29" t="n">
        <v>12</v>
      </c>
      <c r="C5" s="29" t="n">
        <v>15</v>
      </c>
      <c r="D5" s="29" t="n">
        <v>18</v>
      </c>
      <c r="E5" s="29" t="n">
        <v>20</v>
      </c>
      <c r="F5" s="29" t="n">
        <v>25</v>
      </c>
      <c r="G5" s="29" t="n">
        <v>30</v>
      </c>
      <c r="H5" s="29" t="n">
        <v>35</v>
      </c>
    </row>
    <row r="6" customFormat="false" ht="15" hidden="false" customHeight="false" outlineLevel="0" collapsed="false">
      <c r="A6" s="33" t="s">
        <v>216</v>
      </c>
      <c r="B6" s="32" t="n">
        <f aca="false">B5*Assumptions!$C$10/(1+Assumptions!$C$10)</f>
        <v>2.08264462809917</v>
      </c>
      <c r="C6" s="32" t="n">
        <f aca="false">C5*Assumptions!$C$10/(1+Assumptions!$C$10)</f>
        <v>2.60330578512397</v>
      </c>
      <c r="D6" s="32" t="n">
        <f aca="false">D5*Assumptions!$C$10/(1+Assumptions!$C$10)</f>
        <v>3.12396694214876</v>
      </c>
      <c r="E6" s="32" t="n">
        <f aca="false">E5*Assumptions!$C$10/(1+Assumptions!$C$10)</f>
        <v>3.47107438016529</v>
      </c>
      <c r="F6" s="32" t="n">
        <f aca="false">F5*Assumptions!$C$10/(1+Assumptions!$C$10)</f>
        <v>4.33884297520661</v>
      </c>
      <c r="G6" s="32" t="n">
        <f aca="false">G5*Assumptions!$C$10/(1+Assumptions!$C$10)</f>
        <v>5.20661157024793</v>
      </c>
      <c r="H6" s="32" t="n">
        <f aca="false">H5*Assumptions!$C$10/(1+Assumptions!$C$10)</f>
        <v>6.07438016528926</v>
      </c>
    </row>
    <row r="7" customFormat="false" ht="15" hidden="false" customHeight="false" outlineLevel="0" collapsed="false">
      <c r="A7" s="33" t="s">
        <v>217</v>
      </c>
      <c r="B7" s="32" t="n">
        <f aca="false">MAX(Assumptions!$C$11*B5,Assumptions!$C$12/1000)</f>
        <v>1.896</v>
      </c>
      <c r="C7" s="32" t="n">
        <f aca="false">MAX(Assumptions!$C$11*C5,Assumptions!$C$12/1000)</f>
        <v>2.37</v>
      </c>
      <c r="D7" s="32" t="n">
        <f aca="false">MAX(Assumptions!$C$11*D5,Assumptions!$C$12/1000)</f>
        <v>2.844</v>
      </c>
      <c r="E7" s="32" t="n">
        <f aca="false">MAX(Assumptions!$C$11*E5,Assumptions!$C$12/1000)</f>
        <v>3.16</v>
      </c>
      <c r="F7" s="32" t="n">
        <f aca="false">MAX(Assumptions!$C$11*F5,Assumptions!$C$12/1000)</f>
        <v>3.95</v>
      </c>
      <c r="G7" s="32" t="n">
        <f aca="false">MAX(Assumptions!$C$11*G5,Assumptions!$C$12/1000)</f>
        <v>4.74</v>
      </c>
      <c r="H7" s="32" t="n">
        <f aca="false">MAX(Assumptions!$C$11*H5,Assumptions!$C$12/1000)</f>
        <v>5.53</v>
      </c>
    </row>
    <row r="8" customFormat="false" ht="15" hidden="false" customHeight="false" outlineLevel="0" collapsed="false">
      <c r="A8" s="33" t="s">
        <v>197</v>
      </c>
      <c r="B8" s="32" t="n">
        <f aca="false">B5*Assumptions!$C$13</f>
        <v>1.08</v>
      </c>
      <c r="C8" s="32" t="n">
        <f aca="false">C5*Assumptions!$C$13</f>
        <v>1.35</v>
      </c>
      <c r="D8" s="32" t="n">
        <f aca="false">D5*Assumptions!$C$13</f>
        <v>1.62</v>
      </c>
      <c r="E8" s="32" t="n">
        <f aca="false">E5*Assumptions!$C$13</f>
        <v>1.8</v>
      </c>
      <c r="F8" s="32" t="n">
        <f aca="false">F5*Assumptions!$C$13</f>
        <v>2.25</v>
      </c>
      <c r="G8" s="32" t="n">
        <f aca="false">G5*Assumptions!$C$13</f>
        <v>2.7</v>
      </c>
      <c r="H8" s="32" t="n">
        <f aca="false">H5*Assumptions!$C$13</f>
        <v>3.15</v>
      </c>
    </row>
    <row r="9" customFormat="false" ht="15" hidden="false" customHeight="false" outlineLevel="0" collapsed="false">
      <c r="A9" s="33" t="s">
        <v>198</v>
      </c>
      <c r="B9" s="32" t="n">
        <f aca="false">B5*Assumptions!$G$45</f>
        <v>0.6</v>
      </c>
      <c r="C9" s="32" t="n">
        <f aca="false">C5*Assumptions!$G$45</f>
        <v>0.75</v>
      </c>
      <c r="D9" s="32" t="n">
        <f aca="false">D5*Assumptions!$G$45</f>
        <v>0.9</v>
      </c>
      <c r="E9" s="32" t="n">
        <f aca="false">E5*Assumptions!$G$45</f>
        <v>1</v>
      </c>
      <c r="F9" s="32" t="n">
        <f aca="false">F5*Assumptions!$G$45</f>
        <v>1.25</v>
      </c>
      <c r="G9" s="32" t="n">
        <f aca="false">G5*Assumptions!$G$45</f>
        <v>1.5</v>
      </c>
      <c r="H9" s="32" t="n">
        <f aca="false">H5*Assumptions!$G$45</f>
        <v>1.75</v>
      </c>
    </row>
    <row r="10" customFormat="false" ht="15" hidden="false" customHeight="false" outlineLevel="0" collapsed="false">
      <c r="A10" s="33" t="s">
        <v>218</v>
      </c>
      <c r="B10" s="32" t="n">
        <f aca="false">B5/(1+Assumptions!$C$10)-B8-B9</f>
        <v>8.23735537190083</v>
      </c>
      <c r="C10" s="32" t="n">
        <f aca="false">C5/(1+Assumptions!$C$10)-C8-C9</f>
        <v>10.296694214876</v>
      </c>
      <c r="D10" s="32" t="n">
        <f aca="false">D5/(1+Assumptions!$C$10)-D8-D9</f>
        <v>12.3560330578512</v>
      </c>
      <c r="E10" s="32" t="n">
        <f aca="false">E5/(1+Assumptions!$C$10)-E8-E9</f>
        <v>13.7289256198347</v>
      </c>
      <c r="F10" s="32" t="n">
        <f aca="false">F5/(1+Assumptions!$C$10)-F8-F9</f>
        <v>17.1611570247934</v>
      </c>
      <c r="G10" s="32" t="n">
        <f aca="false">G5/(1+Assumptions!$C$10)-G8-G9</f>
        <v>20.5933884297521</v>
      </c>
      <c r="H10" s="32" t="n">
        <f aca="false">H5/(1+Assumptions!$C$10)-H8-H9</f>
        <v>24.0256198347107</v>
      </c>
    </row>
    <row r="11" customFormat="false" ht="15" hidden="false" customHeight="false" outlineLevel="0" collapsed="false">
      <c r="A11" s="33" t="s">
        <v>219</v>
      </c>
      <c r="B11" s="32" t="n">
        <f aca="false">B10-B7</f>
        <v>6.34135537190083</v>
      </c>
      <c r="C11" s="32" t="n">
        <f aca="false">C10-C7</f>
        <v>7.92669421487603</v>
      </c>
      <c r="D11" s="32" t="n">
        <f aca="false">D10-D7</f>
        <v>9.51203305785124</v>
      </c>
      <c r="E11" s="32" t="n">
        <f aca="false">E10-E7</f>
        <v>10.5689256198347</v>
      </c>
      <c r="F11" s="32" t="n">
        <f aca="false">F10-F7</f>
        <v>13.2111570247934</v>
      </c>
      <c r="G11" s="32" t="n">
        <f aca="false">G10-G7</f>
        <v>15.8533884297521</v>
      </c>
      <c r="H11" s="32" t="n">
        <f aca="false">H10-H7</f>
        <v>18.4956198347107</v>
      </c>
    </row>
    <row r="12" customFormat="false" ht="15" hidden="false" customHeight="false" outlineLevel="0" collapsed="false">
      <c r="A12" s="33" t="s">
        <v>220</v>
      </c>
      <c r="B12" s="32" t="n">
        <f aca="false">INDEX(Engine!$C$24:$Y$24,1,(Assumptions!$C$4-1)*6+2)</f>
        <v>10.0892176086957</v>
      </c>
      <c r="C12" s="32" t="n">
        <f aca="false">INDEX(Engine!$C$24:$Y$24,1,(Assumptions!$C$4-1)*6+2)</f>
        <v>10.0892176086957</v>
      </c>
      <c r="D12" s="32" t="n">
        <f aca="false">INDEX(Engine!$C$24:$Y$24,1,(Assumptions!$C$4-1)*6+2)</f>
        <v>10.0892176086957</v>
      </c>
      <c r="E12" s="32" t="n">
        <f aca="false">INDEX(Engine!$C$24:$Y$24,1,(Assumptions!$C$4-1)*6+2)</f>
        <v>10.0892176086957</v>
      </c>
      <c r="F12" s="32" t="n">
        <f aca="false">INDEX(Engine!$C$24:$Y$24,1,(Assumptions!$C$4-1)*6+2)</f>
        <v>10.0892176086957</v>
      </c>
      <c r="G12" s="32" t="n">
        <f aca="false">INDEX(Engine!$C$24:$Y$24,1,(Assumptions!$C$4-1)*6+2)</f>
        <v>10.0892176086957</v>
      </c>
      <c r="H12" s="32" t="n">
        <f aca="false">INDEX(Engine!$C$24:$Y$24,1,(Assumptions!$C$4-1)*6+2)</f>
        <v>10.0892176086957</v>
      </c>
    </row>
    <row r="13" customFormat="false" ht="15" hidden="false" customHeight="false" outlineLevel="0" collapsed="false">
      <c r="A13" s="33" t="s">
        <v>202</v>
      </c>
      <c r="B13" s="32" t="n">
        <f aca="false">(INDEX(Engine!$C$10:$Y$10,1,(Assumptions!$C$4-1)*6+2)-1)*(B7+B12)</f>
        <v>0.7302333615195</v>
      </c>
      <c r="C13" s="32" t="n">
        <f aca="false">(INDEX(Engine!$C$10:$Y$10,1,(Assumptions!$C$4-1)*6+2)-1)*(C7+C12)</f>
        <v>0.759113155333933</v>
      </c>
      <c r="D13" s="32" t="n">
        <f aca="false">(INDEX(Engine!$C$10:$Y$10,1,(Assumptions!$C$4-1)*6+2)-1)*(D7+D12)</f>
        <v>0.787992949148366</v>
      </c>
      <c r="E13" s="32" t="n">
        <f aca="false">(INDEX(Engine!$C$10:$Y$10,1,(Assumptions!$C$4-1)*6+2)-1)*(E7+E12)</f>
        <v>0.807246145024654</v>
      </c>
      <c r="F13" s="32" t="n">
        <f aca="false">(INDEX(Engine!$C$10:$Y$10,1,(Assumptions!$C$4-1)*6+2)-1)*(F7+F12)</f>
        <v>0.855379134715376</v>
      </c>
      <c r="G13" s="32" t="n">
        <f aca="false">(INDEX(Engine!$C$10:$Y$10,1,(Assumptions!$C$4-1)*6+2)-1)*(G7+G12)</f>
        <v>0.903512124406098</v>
      </c>
      <c r="H13" s="32" t="n">
        <f aca="false">(INDEX(Engine!$C$10:$Y$10,1,(Assumptions!$C$4-1)*6+2)-1)*(H7+H12)</f>
        <v>0.95164511409682</v>
      </c>
    </row>
    <row r="14" customFormat="false" ht="15" hidden="false" customHeight="false" outlineLevel="0" collapsed="false">
      <c r="A14" s="34" t="s">
        <v>221</v>
      </c>
      <c r="B14" s="10" t="n">
        <f aca="false">B11-B12-B13-B10*Assumptions!$C$28</f>
        <v>-4.47809559831432</v>
      </c>
      <c r="C14" s="10" t="n">
        <f aca="false">C11-C12-C13-C10*Assumptions!$C$28</f>
        <v>-2.92163654915355</v>
      </c>
      <c r="D14" s="10" t="n">
        <f aca="false">D11-D12-D13-D10*Assumptions!$C$28</f>
        <v>-1.36517749999278</v>
      </c>
      <c r="E14" s="10" t="n">
        <f aca="false">E11-E12-E13-E10*Assumptions!$C$28</f>
        <v>-0.327538133885595</v>
      </c>
      <c r="F14" s="10" t="n">
        <f aca="false">F11-F12-F13-F10*Assumptions!$C$28</f>
        <v>2.26656028138236</v>
      </c>
      <c r="G14" s="10" t="n">
        <f aca="false">G11-G12-G13-G10*Assumptions!$C$28</f>
        <v>4.86065869665032</v>
      </c>
      <c r="H14" s="10" t="n">
        <f aca="false">H11-H12-H13-H10*Assumptions!$C$28</f>
        <v>7.45475711191827</v>
      </c>
    </row>
    <row r="15" customFormat="false" ht="15" hidden="false" customHeight="false" outlineLevel="0" collapsed="false">
      <c r="A15" s="33" t="s">
        <v>222</v>
      </c>
      <c r="B15" s="15" t="n">
        <f aca="false">IF(B11&lt;&gt;0,B14/B11,0)</f>
        <v>-0.706173260397487</v>
      </c>
      <c r="C15" s="15" t="n">
        <f aca="false">IF(C11&lt;&gt;0,C14/C11,0)</f>
        <v>-0.368581967457571</v>
      </c>
      <c r="D15" s="15" t="n">
        <f aca="false">IF(D11&lt;&gt;0,D14/D11,0)</f>
        <v>-0.143521105497626</v>
      </c>
      <c r="E15" s="15" t="n">
        <f aca="false">IF(E11&lt;&gt;0,E14/E11,0)</f>
        <v>-0.0309906745176542</v>
      </c>
      <c r="F15" s="15" t="n">
        <f aca="false">IF(F11&lt;&gt;0,F14/F11,0)</f>
        <v>0.171564101246296</v>
      </c>
      <c r="G15" s="15" t="n">
        <f aca="false">IF(G11&lt;&gt;0,G14/G11,0)</f>
        <v>0.306600618422262</v>
      </c>
      <c r="H15" s="15" t="n">
        <f aca="false">IF(H11&lt;&gt;0,H14/H11,0)</f>
        <v>0.403055273547952</v>
      </c>
    </row>
    <row r="16" customFormat="false" ht="15" hidden="false" customHeight="false" outlineLevel="0" collapsed="false">
      <c r="A16" s="33" t="s">
        <v>223</v>
      </c>
      <c r="B16" s="15" t="n">
        <f aca="false">B14/B5</f>
        <v>-0.37317463319286</v>
      </c>
      <c r="C16" s="15" t="n">
        <f aca="false">C14/C5</f>
        <v>-0.19477576994357</v>
      </c>
      <c r="D16" s="15" t="n">
        <f aca="false">D14/D5</f>
        <v>-0.0758431944440431</v>
      </c>
      <c r="E16" s="15" t="n">
        <f aca="false">E14/E5</f>
        <v>-0.0163769066942797</v>
      </c>
      <c r="F16" s="15" t="n">
        <f aca="false">F14/F5</f>
        <v>0.0906624112552945</v>
      </c>
      <c r="G16" s="15" t="n">
        <f aca="false">G14/G5</f>
        <v>0.162021956555011</v>
      </c>
      <c r="H16" s="15" t="n">
        <f aca="false">H14/H5</f>
        <v>0.212993060340522</v>
      </c>
    </row>
    <row r="17" customFormat="false" ht="15" hidden="false" customHeight="false" outlineLevel="0" collapsed="false">
      <c r="A17" s="33" t="s">
        <v>16</v>
      </c>
      <c r="B17" s="6" t="str">
        <f aca="false">IF(B14&gt;0,(INDEX(Engine!$C$40:$Y$40,1,(Assumptions!$C$4-1)*6+4)+Assumptions!$C$18*Assumptions!$C$17)/B14,"no viable")</f>
        <v>no viable</v>
      </c>
      <c r="C17" s="6" t="str">
        <f aca="false">IF(C14&gt;0,(INDEX(Engine!$C$40:$Y$40,1,(Assumptions!$C$4-1)*6+4)+Assumptions!$C$18*Assumptions!$C$17)/C14,"no viable")</f>
        <v>no viable</v>
      </c>
      <c r="D17" s="6" t="str">
        <f aca="false">IF(D14&gt;0,(INDEX(Engine!$C$40:$Y$40,1,(Assumptions!$C$4-1)*6+4)+Assumptions!$C$18*Assumptions!$C$17)/D14,"no viable")</f>
        <v>no viable</v>
      </c>
      <c r="E17" s="6" t="str">
        <f aca="false">IF(E14&gt;0,(INDEX(Engine!$C$40:$Y$40,1,(Assumptions!$C$4-1)*6+4)+Assumptions!$C$18*Assumptions!$C$17)/E14,"no viable")</f>
        <v>no viable</v>
      </c>
      <c r="F17" s="6" t="n">
        <f aca="false">IF(F14&gt;0,(INDEX(Engine!$C$40:$Y$40,1,(Assumptions!$C$4-1)*6+4)+Assumptions!$C$18*Assumptions!$C$17)/F14,"no viable")</f>
        <v>11025.5174791816</v>
      </c>
      <c r="G17" s="6" t="n">
        <f aca="false">IF(G14&gt;0,(INDEX(Engine!$C$40:$Y$40,1,(Assumptions!$C$4-1)*6+4)+Assumptions!$C$18*Assumptions!$C$17)/G14,"no viable")</f>
        <v>5141.27848911129</v>
      </c>
      <c r="H17" s="6" t="n">
        <f aca="false">IF(H14&gt;0,(INDEX(Engine!$C$40:$Y$40,1,(Assumptions!$C$4-1)*6+4)+Assumptions!$C$18*Assumptions!$C$17)/H14,"no viable")</f>
        <v>3352.22189332598</v>
      </c>
    </row>
    <row r="18" customFormat="false" ht="15" hidden="false" customHeight="false" outlineLevel="0" collapsed="false">
      <c r="A18" s="33" t="s">
        <v>224</v>
      </c>
      <c r="B18" s="32" t="n">
        <f aca="false">MAX(0,((B11*0.75-B10*Assumptions!$C$28-B7*(INDEX(Engine!$C$10:$Y$10,1,(Assumptions!$C$4-1)*6+2)-1))/INDEX(Engine!$C$10:$Y$10,1,(Assumptions!$C$4-1)*6+2)-(INDEX(Engine!$C$24:$Y$24,1,(Assumptions!$C$4-1)*6+2)-INDEX(Engine!$C$20:$Y$20,1,(Assumptions!$C$4-1)*6+2)*(1+Assumptions!$C$15)*(1+Assumptions!$C$14)))/((1+Assumptions!$C$15)*(1+Assumptions!$C$14))*Assumptions!$C$19)</f>
        <v>0.809680699249969</v>
      </c>
      <c r="C18" s="32" t="n">
        <f aca="false">MAX(0,((C11*0.75-C10*Assumptions!$C$28-C7*(INDEX(Engine!$C$10:$Y$10,1,(Assumptions!$C$4-1)*6+2)-1))/INDEX(Engine!$C$10:$Y$10,1,(Assumptions!$C$4-1)*6+2)-(INDEX(Engine!$C$24:$Y$24,1,(Assumptions!$C$4-1)*6+2)-INDEX(Engine!$C$20:$Y$20,1,(Assumptions!$C$4-1)*6+2)*(1+Assumptions!$C$15)*(1+Assumptions!$C$14)))/((1+Assumptions!$C$15)*(1+Assumptions!$C$14))*Assumptions!$C$19)</f>
        <v>1.80275084839714</v>
      </c>
      <c r="D18" s="32" t="n">
        <f aca="false">MAX(0,((D11*0.75-D10*Assumptions!$C$28-D7*(INDEX(Engine!$C$10:$Y$10,1,(Assumptions!$C$4-1)*6+2)-1))/INDEX(Engine!$C$10:$Y$10,1,(Assumptions!$C$4-1)*6+2)-(INDEX(Engine!$C$24:$Y$24,1,(Assumptions!$C$4-1)*6+2)-INDEX(Engine!$C$20:$Y$20,1,(Assumptions!$C$4-1)*6+2)*(1+Assumptions!$C$15)*(1+Assumptions!$C$14)))/((1+Assumptions!$C$15)*(1+Assumptions!$C$14))*Assumptions!$C$19)</f>
        <v>2.79582099754431</v>
      </c>
      <c r="E18" s="32" t="n">
        <f aca="false">MAX(0,((E11*0.75-E10*Assumptions!$C$28-E7*(INDEX(Engine!$C$10:$Y$10,1,(Assumptions!$C$4-1)*6+2)-1))/INDEX(Engine!$C$10:$Y$10,1,(Assumptions!$C$4-1)*6+2)-(INDEX(Engine!$C$24:$Y$24,1,(Assumptions!$C$4-1)*6+2)-INDEX(Engine!$C$20:$Y$20,1,(Assumptions!$C$4-1)*6+2)*(1+Assumptions!$C$15)*(1+Assumptions!$C$14)))/((1+Assumptions!$C$15)*(1+Assumptions!$C$14))*Assumptions!$C$19)</f>
        <v>3.45786776364242</v>
      </c>
      <c r="F18" s="32" t="n">
        <f aca="false">MAX(0,((F11*0.75-F10*Assumptions!$C$28-F7*(INDEX(Engine!$C$10:$Y$10,1,(Assumptions!$C$4-1)*6+2)-1))/INDEX(Engine!$C$10:$Y$10,1,(Assumptions!$C$4-1)*6+2)-(INDEX(Engine!$C$24:$Y$24,1,(Assumptions!$C$4-1)*6+2)-INDEX(Engine!$C$20:$Y$20,1,(Assumptions!$C$4-1)*6+2)*(1+Assumptions!$C$15)*(1+Assumptions!$C$14)))/((1+Assumptions!$C$15)*(1+Assumptions!$C$14))*Assumptions!$C$19)</f>
        <v>5.11298467888769</v>
      </c>
      <c r="G18" s="32" t="n">
        <f aca="false">MAX(0,((G11*0.75-G10*Assumptions!$C$28-G7*(INDEX(Engine!$C$10:$Y$10,1,(Assumptions!$C$4-1)*6+2)-1))/INDEX(Engine!$C$10:$Y$10,1,(Assumptions!$C$4-1)*6+2)-(INDEX(Engine!$C$24:$Y$24,1,(Assumptions!$C$4-1)*6+2)-INDEX(Engine!$C$20:$Y$20,1,(Assumptions!$C$4-1)*6+2)*(1+Assumptions!$C$15)*(1+Assumptions!$C$14)))/((1+Assumptions!$C$15)*(1+Assumptions!$C$14))*Assumptions!$C$19)</f>
        <v>6.76810159413298</v>
      </c>
      <c r="H18" s="32" t="n">
        <f aca="false">MAX(0,((H11*0.75-H10*Assumptions!$C$28-H7*(INDEX(Engine!$C$10:$Y$10,1,(Assumptions!$C$4-1)*6+2)-1))/INDEX(Engine!$C$10:$Y$10,1,(Assumptions!$C$4-1)*6+2)-(INDEX(Engine!$C$24:$Y$24,1,(Assumptions!$C$4-1)*6+2)-INDEX(Engine!$C$20:$Y$20,1,(Assumptions!$C$4-1)*6+2)*(1+Assumptions!$C$15)*(1+Assumptions!$C$14)))/((1+Assumptions!$C$15)*(1+Assumptions!$C$14))*Assumptions!$C$19)</f>
        <v>8.42321850937826</v>
      </c>
    </row>
    <row r="21" customFormat="false" ht="15" hidden="false" customHeight="false" outlineLevel="0" collapsed="false">
      <c r="A21" s="17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3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5" t="s">
        <v>228</v>
      </c>
      <c r="B4" s="5" t="s">
        <v>166</v>
      </c>
      <c r="C4" s="5" t="s">
        <v>167</v>
      </c>
      <c r="D4" s="5" t="s">
        <v>168</v>
      </c>
      <c r="E4" s="5" t="s">
        <v>169</v>
      </c>
      <c r="F4" s="5" t="s">
        <v>170</v>
      </c>
      <c r="G4" s="5" t="s">
        <v>229</v>
      </c>
    </row>
    <row r="5" customFormat="false" ht="15" hidden="false" customHeight="false" outlineLevel="0" collapsed="false">
      <c r="A5" s="3" t="s">
        <v>24</v>
      </c>
      <c r="B5" s="30" t="n">
        <v>0</v>
      </c>
      <c r="C5" s="30" t="n">
        <v>1000</v>
      </c>
      <c r="D5" s="30" t="n">
        <v>1500</v>
      </c>
      <c r="E5" s="30" t="n">
        <v>2000</v>
      </c>
      <c r="F5" s="30" t="n">
        <v>2500</v>
      </c>
      <c r="G5" s="13" t="n">
        <f aca="false">SUM(B5:F5)</f>
        <v>7000</v>
      </c>
    </row>
    <row r="6" customFormat="false" ht="15" hidden="false" customHeight="false" outlineLevel="0" collapsed="false">
      <c r="A6" s="3" t="s">
        <v>25</v>
      </c>
      <c r="B6" s="30" t="n">
        <v>0</v>
      </c>
      <c r="C6" s="30" t="n">
        <v>2000</v>
      </c>
      <c r="D6" s="30" t="n">
        <v>3500</v>
      </c>
      <c r="E6" s="30" t="n">
        <v>5000</v>
      </c>
      <c r="F6" s="30" t="n">
        <v>6500</v>
      </c>
      <c r="G6" s="13" t="n">
        <f aca="false">SUM(B6:F6)</f>
        <v>17000</v>
      </c>
    </row>
    <row r="7" customFormat="false" ht="15" hidden="false" customHeight="false" outlineLevel="0" collapsed="false">
      <c r="A7" s="3" t="s">
        <v>26</v>
      </c>
      <c r="B7" s="30" t="n">
        <v>0</v>
      </c>
      <c r="C7" s="30" t="n">
        <v>3500</v>
      </c>
      <c r="D7" s="30" t="n">
        <v>6000</v>
      </c>
      <c r="E7" s="30" t="n">
        <v>9000</v>
      </c>
      <c r="F7" s="30" t="n">
        <v>12000</v>
      </c>
      <c r="G7" s="13" t="n">
        <f aca="false">SUM(B7:F7)</f>
        <v>30500</v>
      </c>
    </row>
    <row r="8" customFormat="false" ht="15" hidden="false" customHeight="false" outlineLevel="0" collapsed="false">
      <c r="A8" s="3" t="s">
        <v>230</v>
      </c>
      <c r="B8" s="30" t="n">
        <v>0</v>
      </c>
      <c r="C8" s="30" t="n">
        <v>2000</v>
      </c>
      <c r="D8" s="30" t="n">
        <v>3500</v>
      </c>
      <c r="E8" s="30" t="n">
        <v>5000</v>
      </c>
      <c r="F8" s="30" t="n">
        <v>6500</v>
      </c>
      <c r="G8" s="13" t="n">
        <f aca="false">SUM(B8:F8)</f>
        <v>17000</v>
      </c>
    </row>
    <row r="11" customFormat="false" ht="15" hidden="false" customHeight="false" outlineLevel="0" collapsed="false">
      <c r="A11" s="23" t="s">
        <v>231</v>
      </c>
      <c r="B11" s="24"/>
      <c r="C11" s="24"/>
      <c r="D11" s="24"/>
      <c r="E11" s="24"/>
      <c r="F11" s="24"/>
      <c r="G11" s="24"/>
    </row>
    <row r="12" customFormat="false" ht="15" hidden="false" customHeight="false" outlineLevel="0" collapsed="false">
      <c r="A12" s="5" t="s">
        <v>232</v>
      </c>
      <c r="B12" s="5" t="s">
        <v>166</v>
      </c>
      <c r="C12" s="5" t="s">
        <v>167</v>
      </c>
      <c r="D12" s="5" t="s">
        <v>168</v>
      </c>
      <c r="E12" s="5" t="s">
        <v>169</v>
      </c>
      <c r="F12" s="5" t="s">
        <v>170</v>
      </c>
    </row>
    <row r="13" customFormat="false" ht="15" hidden="false" customHeight="false" outlineLevel="0" collapsed="false">
      <c r="A13" s="34" t="s">
        <v>233</v>
      </c>
      <c r="B13" s="6" t="n">
        <f aca="false">INDEX(Engine!$C$14:$Y$14,1,(Assumptions!$C$4-1)*6+1)</f>
        <v>0</v>
      </c>
      <c r="C13" s="6" t="n">
        <f aca="false">INDEX(Engine!$C$14:$Y$14,1,(Assumptions!$C$4-1)*6+2)</f>
        <v>2000</v>
      </c>
      <c r="D13" s="6" t="n">
        <f aca="false">INDEX(Engine!$C$14:$Y$14,1,(Assumptions!$C$4-1)*6+3)</f>
        <v>3500</v>
      </c>
      <c r="E13" s="6" t="n">
        <f aca="false">INDEX(Engine!$C$14:$Y$14,1,(Assumptions!$C$4-1)*6+4)</f>
        <v>5000</v>
      </c>
      <c r="F13" s="6" t="n">
        <f aca="false">INDEX(Engine!$C$14:$Y$14,1,(Assumptions!$C$4-1)*6+5)</f>
        <v>6500</v>
      </c>
    </row>
    <row r="14" customFormat="false" ht="15" hidden="false" customHeight="false" outlineLevel="0" collapsed="false">
      <c r="A14" s="33" t="s">
        <v>234</v>
      </c>
      <c r="B14" s="13" t="n">
        <f aca="false">INDEX(Engine!$C$13:$Y$13,1,(Assumptions!$C$4-1)*6+1)</f>
        <v>1000</v>
      </c>
      <c r="C14" s="13" t="n">
        <f aca="false">INDEX(Engine!$C$13:$Y$13,1,(Assumptions!$C$4-1)*6+2)</f>
        <v>2871.85567010309</v>
      </c>
      <c r="D14" s="13" t="n">
        <f aca="false">INDEX(Engine!$C$13:$Y$13,1,(Assumptions!$C$4-1)*6+3)</f>
        <v>4463.24742268041</v>
      </c>
      <c r="E14" s="13" t="n">
        <f aca="false">INDEX(Engine!$C$13:$Y$13,1,(Assumptions!$C$4-1)*6+4)</f>
        <v>6054.63917525773</v>
      </c>
      <c r="F14" s="13" t="n">
        <f aca="false">INDEX(Engine!$C$13:$Y$13,1,(Assumptions!$C$4-1)*6+5)</f>
        <v>6896.03092783505</v>
      </c>
    </row>
    <row r="15" customFormat="false" ht="15" hidden="false" customHeight="false" outlineLevel="0" collapsed="false">
      <c r="A15" s="33" t="s">
        <v>235</v>
      </c>
      <c r="B15" s="13" t="n">
        <f aca="false">INDEX(Engine!$C$16:$Y$16,1,(Assumptions!$C$4-1)*6+1)</f>
        <v>1000</v>
      </c>
      <c r="C15" s="13" t="n">
        <f aca="false">INDEX(Engine!$C$16:$Y$16,1,(Assumptions!$C$4-1)*6+2)</f>
        <v>1750</v>
      </c>
      <c r="D15" s="13" t="n">
        <f aca="false">INDEX(Engine!$C$16:$Y$16,1,(Assumptions!$C$4-1)*6+3)</f>
        <v>2500</v>
      </c>
      <c r="E15" s="13" t="n">
        <f aca="false">INDEX(Engine!$C$16:$Y$16,1,(Assumptions!$C$4-1)*6+4)</f>
        <v>3250</v>
      </c>
      <c r="F15" s="13" t="n">
        <f aca="false">INDEX(Engine!$C$16:$Y$16,1,(Assumptions!$C$4-1)*6+5)</f>
        <v>3250</v>
      </c>
    </row>
    <row r="16" customFormat="false" ht="15" hidden="false" customHeight="false" outlineLevel="0" collapsed="false">
      <c r="A16" s="33" t="s">
        <v>236</v>
      </c>
      <c r="B16" s="13" t="n">
        <f aca="false">B13/Assumptions!$C$20</f>
        <v>0</v>
      </c>
      <c r="C16" s="13" t="n">
        <f aca="false">C13/Assumptions!$C$20</f>
        <v>200</v>
      </c>
      <c r="D16" s="13" t="n">
        <f aca="false">D13/Assumptions!$C$20</f>
        <v>350</v>
      </c>
      <c r="E16" s="13" t="n">
        <f aca="false">E13/Assumptions!$C$20</f>
        <v>500</v>
      </c>
      <c r="F16" s="13" t="n">
        <f aca="false">F13/Assumptions!$C$20</f>
        <v>650</v>
      </c>
    </row>
    <row r="17" customFormat="false" ht="15" hidden="false" customHeight="false" outlineLevel="0" collapsed="false">
      <c r="A17" s="34" t="s">
        <v>237</v>
      </c>
      <c r="B17" s="6" t="n">
        <f aca="false">INDEX(Engine!$C$99:$Y$99,1,(Assumptions!$C$4-1)*6+1)</f>
        <v>0</v>
      </c>
      <c r="C17" s="6" t="n">
        <f aca="false">INDEX(Engine!$C$99:$Y$99,1,(Assumptions!$C$4-1)*6+2)</f>
        <v>50</v>
      </c>
      <c r="D17" s="6" t="n">
        <f aca="false">INDEX(Engine!$C$99:$Y$99,1,(Assumptions!$C$4-1)*6+3)</f>
        <v>87.5</v>
      </c>
      <c r="E17" s="6" t="n">
        <f aca="false">INDEX(Engine!$C$99:$Y$99,1,(Assumptions!$C$4-1)*6+4)</f>
        <v>125</v>
      </c>
      <c r="F17" s="6" t="n">
        <f aca="false">INDEX(Engine!$C$99:$Y$99,1,(Assumptions!$C$4-1)*6+5)</f>
        <v>162.5</v>
      </c>
    </row>
    <row r="18" customFormat="false" ht="15" hidden="false" customHeight="false" outlineLevel="0" collapsed="false">
      <c r="A18" s="33" t="s">
        <v>238</v>
      </c>
      <c r="B18" s="14" t="n">
        <f aca="false">INDEX(Engine!$C$29:$Y$29,1,(Assumptions!$C$4-1)*6+1)</f>
        <v>0</v>
      </c>
      <c r="C18" s="14" t="n">
        <f aca="false">INDEX(Engine!$C$29:$Y$29,1,(Assumptions!$C$4-1)*6+2)</f>
        <v>48000</v>
      </c>
      <c r="D18" s="14" t="n">
        <f aca="false">INDEX(Engine!$C$29:$Y$29,1,(Assumptions!$C$4-1)*6+3)</f>
        <v>84000</v>
      </c>
      <c r="E18" s="14" t="n">
        <f aca="false">INDEX(Engine!$C$29:$Y$29,1,(Assumptions!$C$4-1)*6+4)</f>
        <v>120000</v>
      </c>
      <c r="F18" s="14" t="n">
        <f aca="false">INDEX(Engine!$C$29:$Y$29,1,(Assumptions!$C$4-1)*6+5)</f>
        <v>156000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7" min="3" style="0" width="13"/>
  </cols>
  <sheetData>
    <row r="1" customFormat="false" ht="19.7" hidden="false" customHeight="fals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4" customFormat="false" ht="15" hidden="false" customHeight="false" outlineLevel="0" collapsed="false">
      <c r="A4" s="5" t="s">
        <v>241</v>
      </c>
      <c r="B4" s="5" t="s">
        <v>42</v>
      </c>
      <c r="C4" s="5" t="s">
        <v>166</v>
      </c>
      <c r="D4" s="5" t="s">
        <v>167</v>
      </c>
      <c r="E4" s="5" t="s">
        <v>168</v>
      </c>
      <c r="F4" s="5" t="s">
        <v>169</v>
      </c>
      <c r="G4" s="5" t="s">
        <v>170</v>
      </c>
    </row>
    <row r="5" customFormat="false" ht="15" hidden="false" customHeight="false" outlineLevel="0" collapsed="false">
      <c r="A5" s="3" t="s">
        <v>242</v>
      </c>
      <c r="B5" s="3" t="s">
        <v>46</v>
      </c>
      <c r="C5" s="26" t="n">
        <v>6000</v>
      </c>
      <c r="D5" s="26" t="n">
        <v>0</v>
      </c>
      <c r="E5" s="26" t="n">
        <v>0</v>
      </c>
      <c r="F5" s="26" t="n">
        <v>0</v>
      </c>
      <c r="G5" s="26" t="n">
        <v>0</v>
      </c>
    </row>
    <row r="6" customFormat="false" ht="15" hidden="false" customHeight="false" outlineLevel="0" collapsed="false">
      <c r="A6" s="3" t="s">
        <v>243</v>
      </c>
      <c r="B6" s="3" t="s">
        <v>46</v>
      </c>
      <c r="C6" s="26" t="n">
        <v>6000</v>
      </c>
      <c r="D6" s="26" t="n">
        <v>2500</v>
      </c>
      <c r="E6" s="26" t="n">
        <v>2500</v>
      </c>
      <c r="F6" s="26" t="n">
        <v>2500</v>
      </c>
      <c r="G6" s="26" t="n">
        <v>2500</v>
      </c>
    </row>
    <row r="7" customFormat="false" ht="15" hidden="false" customHeight="false" outlineLevel="0" collapsed="false">
      <c r="A7" s="3" t="s">
        <v>244</v>
      </c>
      <c r="B7" s="3" t="s">
        <v>46</v>
      </c>
      <c r="C7" s="26" t="n">
        <v>3000</v>
      </c>
      <c r="D7" s="26" t="n">
        <v>800</v>
      </c>
      <c r="E7" s="26" t="n">
        <v>800</v>
      </c>
      <c r="F7" s="26" t="n">
        <v>1500</v>
      </c>
      <c r="G7" s="26" t="n">
        <v>800</v>
      </c>
    </row>
    <row r="8" customFormat="false" ht="15" hidden="false" customHeight="false" outlineLevel="0" collapsed="false">
      <c r="A8" s="3" t="s">
        <v>245</v>
      </c>
      <c r="B8" s="3" t="s">
        <v>46</v>
      </c>
      <c r="C8" s="26" t="n">
        <v>1800</v>
      </c>
      <c r="D8" s="26" t="n">
        <v>3600</v>
      </c>
      <c r="E8" s="26" t="n">
        <v>3600</v>
      </c>
      <c r="F8" s="26" t="n">
        <v>3800</v>
      </c>
      <c r="G8" s="26" t="n">
        <v>4000</v>
      </c>
    </row>
    <row r="9" customFormat="false" ht="15" hidden="false" customHeight="false" outlineLevel="0" collapsed="false">
      <c r="A9" s="3" t="s">
        <v>246</v>
      </c>
      <c r="B9" s="3" t="s">
        <v>46</v>
      </c>
      <c r="C9" s="26" t="n">
        <v>600</v>
      </c>
      <c r="D9" s="26" t="n">
        <v>1500</v>
      </c>
      <c r="E9" s="26" t="n">
        <v>1500</v>
      </c>
      <c r="F9" s="26" t="n">
        <v>1600</v>
      </c>
      <c r="G9" s="26" t="n">
        <v>1700</v>
      </c>
    </row>
    <row r="10" customFormat="false" ht="15" hidden="false" customHeight="false" outlineLevel="0" collapsed="false">
      <c r="A10" s="3" t="s">
        <v>247</v>
      </c>
      <c r="B10" s="3" t="s">
        <v>46</v>
      </c>
      <c r="C10" s="26" t="n">
        <v>0</v>
      </c>
      <c r="D10" s="26" t="n">
        <v>1800</v>
      </c>
      <c r="E10" s="26" t="n">
        <v>2400</v>
      </c>
      <c r="F10" s="26" t="n">
        <v>3000</v>
      </c>
      <c r="G10" s="26" t="n">
        <v>3600</v>
      </c>
    </row>
    <row r="11" customFormat="false" ht="15" hidden="false" customHeight="false" outlineLevel="0" collapsed="false">
      <c r="A11" s="3" t="s">
        <v>248</v>
      </c>
      <c r="B11" s="3" t="s">
        <v>46</v>
      </c>
      <c r="C11" s="26" t="n">
        <v>5000</v>
      </c>
      <c r="D11" s="26" t="n">
        <v>3000</v>
      </c>
      <c r="E11" s="26" t="n">
        <v>3000</v>
      </c>
      <c r="F11" s="26" t="n">
        <v>3000</v>
      </c>
      <c r="G11" s="26" t="n">
        <v>3000</v>
      </c>
    </row>
    <row r="12" customFormat="false" ht="15" hidden="false" customHeight="false" outlineLevel="0" collapsed="false">
      <c r="A12" s="3" t="s">
        <v>249</v>
      </c>
      <c r="B12" s="3" t="s">
        <v>46</v>
      </c>
      <c r="C12" s="26" t="n">
        <v>1000</v>
      </c>
      <c r="D12" s="26" t="n">
        <v>6000</v>
      </c>
      <c r="E12" s="26" t="n">
        <v>5000</v>
      </c>
      <c r="F12" s="26" t="n">
        <v>5000</v>
      </c>
      <c r="G12" s="26" t="n">
        <v>5000</v>
      </c>
    </row>
    <row r="13" customFormat="false" ht="15" hidden="false" customHeight="false" outlineLevel="0" collapsed="false">
      <c r="A13" s="3" t="s">
        <v>250</v>
      </c>
      <c r="B13" s="3" t="s">
        <v>46</v>
      </c>
      <c r="C13" s="26" t="n">
        <v>500</v>
      </c>
      <c r="D13" s="26" t="n">
        <v>1200</v>
      </c>
      <c r="E13" s="26" t="n">
        <v>1200</v>
      </c>
      <c r="F13" s="26" t="n">
        <v>1200</v>
      </c>
      <c r="G13" s="26" t="n">
        <v>1200</v>
      </c>
    </row>
    <row r="14" customFormat="false" ht="15" hidden="false" customHeight="false" outlineLevel="0" collapsed="false">
      <c r="A14" s="3" t="s">
        <v>251</v>
      </c>
      <c r="B14" s="3" t="s">
        <v>46</v>
      </c>
      <c r="C14" s="26" t="n">
        <v>0</v>
      </c>
      <c r="D14" s="26" t="n">
        <v>300</v>
      </c>
      <c r="E14" s="26" t="n">
        <v>300</v>
      </c>
      <c r="F14" s="26" t="n">
        <v>300</v>
      </c>
      <c r="G14" s="26" t="n">
        <v>300</v>
      </c>
    </row>
    <row r="15" customFormat="false" ht="15" hidden="false" customHeight="false" outlineLevel="0" collapsed="false">
      <c r="A15" s="3" t="s">
        <v>252</v>
      </c>
      <c r="B15" s="3" t="s">
        <v>46</v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</row>
    <row r="16" customFormat="false" ht="15" hidden="false" customHeight="false" outlineLevel="0" collapsed="false">
      <c r="A16" s="3" t="s">
        <v>253</v>
      </c>
      <c r="B16" s="27" t="n">
        <v>0.1</v>
      </c>
      <c r="C16" s="14" t="n">
        <f aca="false">SUM(C5:C15)*$B$16</f>
        <v>2390</v>
      </c>
      <c r="D16" s="14" t="n">
        <f aca="false">SUM(D5:D15)*$B$16</f>
        <v>2070</v>
      </c>
      <c r="E16" s="14" t="n">
        <f aca="false">SUM(E5:E15)*$B$16</f>
        <v>2030</v>
      </c>
      <c r="F16" s="14" t="n">
        <f aca="false">SUM(F5:F15)*$B$16</f>
        <v>2190</v>
      </c>
      <c r="G16" s="14" t="n">
        <f aca="false">SUM(G5:G15)*$B$16</f>
        <v>2210</v>
      </c>
    </row>
    <row r="17" customFormat="false" ht="15" hidden="false" customHeight="false" outlineLevel="0" collapsed="false">
      <c r="A17" s="3" t="s">
        <v>254</v>
      </c>
      <c r="C17" s="7" t="n">
        <f aca="false">SUM(C5:C16)</f>
        <v>26290</v>
      </c>
      <c r="D17" s="7" t="n">
        <f aca="false">SUM(D5:D16)</f>
        <v>22770</v>
      </c>
      <c r="E17" s="7" t="n">
        <f aca="false">SUM(E5:E16)</f>
        <v>22330</v>
      </c>
      <c r="F17" s="7" t="n">
        <f aca="false">SUM(F5:F16)</f>
        <v>24090</v>
      </c>
      <c r="G17" s="7" t="n">
        <f aca="false">SUM(G5:G16)</f>
        <v>24310</v>
      </c>
    </row>
    <row r="19" customFormat="false" ht="15" hidden="false" customHeight="false" outlineLevel="0" collapsed="false">
      <c r="A19" s="23" t="s">
        <v>255</v>
      </c>
      <c r="B19" s="24"/>
      <c r="C19" s="24"/>
      <c r="D19" s="24"/>
      <c r="E19" s="24"/>
      <c r="F19" s="24"/>
      <c r="G19" s="24"/>
    </row>
    <row r="20" customFormat="false" ht="15" hidden="false" customHeight="false" outlineLevel="0" collapsed="false">
      <c r="A20" s="3" t="s">
        <v>256</v>
      </c>
      <c r="B20" s="3" t="s">
        <v>60</v>
      </c>
      <c r="C20" s="26" t="n">
        <v>4000</v>
      </c>
      <c r="D20" s="26" t="n">
        <v>0</v>
      </c>
      <c r="E20" s="26" t="n">
        <v>0</v>
      </c>
      <c r="F20" s="26" t="n">
        <v>0</v>
      </c>
      <c r="G20" s="26" t="n">
        <v>0</v>
      </c>
    </row>
    <row r="21" customFormat="false" ht="15" hidden="false" customHeight="false" outlineLevel="0" collapsed="false">
      <c r="A21" s="3" t="s">
        <v>257</v>
      </c>
      <c r="B21" s="3" t="s">
        <v>46</v>
      </c>
      <c r="C21" s="26" t="n">
        <v>9000</v>
      </c>
      <c r="D21" s="26" t="n">
        <v>0</v>
      </c>
      <c r="E21" s="26" t="n">
        <v>3000</v>
      </c>
      <c r="F21" s="26" t="n">
        <v>0</v>
      </c>
      <c r="G21" s="26" t="n">
        <v>0</v>
      </c>
    </row>
    <row r="22" customFormat="false" ht="15" hidden="false" customHeight="false" outlineLevel="0" collapsed="false">
      <c r="A22" s="3" t="s">
        <v>258</v>
      </c>
      <c r="C22" s="7" t="n">
        <f aca="false">SUM(C20:C21)</f>
        <v>13000</v>
      </c>
      <c r="D22" s="7" t="n">
        <f aca="false">SUM(D20:D21)</f>
        <v>0</v>
      </c>
      <c r="E22" s="7" t="n">
        <f aca="false">SUM(E20:E21)</f>
        <v>3000</v>
      </c>
      <c r="F22" s="7" t="n">
        <f aca="false">SUM(F20:F21)</f>
        <v>0</v>
      </c>
      <c r="G22" s="7" t="n">
        <f aca="false">SUM(G20:G21)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6" min="2" style="0" width="10"/>
  </cols>
  <sheetData>
    <row r="1" customFormat="false" ht="19.7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3" customFormat="false" ht="15" hidden="false" customHeight="false" outlineLevel="0" collapsed="false">
      <c r="A3" s="4" t="str">
        <f aca="false">"Escenario: "&amp;Assumptions!$D$4</f>
        <v>Escenario: Base</v>
      </c>
    </row>
    <row r="5" customFormat="false" ht="15" hidden="false" customHeight="false" outlineLevel="0" collapsed="false">
      <c r="A5" s="5" t="s">
        <v>232</v>
      </c>
      <c r="B5" s="5" t="s">
        <v>166</v>
      </c>
      <c r="C5" s="5" t="s">
        <v>167</v>
      </c>
      <c r="D5" s="5" t="s">
        <v>168</v>
      </c>
      <c r="E5" s="5" t="s">
        <v>169</v>
      </c>
      <c r="F5" s="5" t="s">
        <v>170</v>
      </c>
    </row>
    <row r="6" customFormat="false" ht="15" hidden="false" customHeight="false" outlineLevel="0" collapsed="false">
      <c r="A6" s="33" t="s">
        <v>261</v>
      </c>
      <c r="B6" s="14" t="n">
        <f aca="false">INDEX(Engine!$C$57:$Y$57,1,(Assumptions!$C$4-1)*6+1)</f>
        <v>10089.2176086957</v>
      </c>
      <c r="C6" s="14" t="n">
        <f aca="false">INDEX(Engine!$C$57:$Y$57,1,(Assumptions!$C$4-1)*6+2)</f>
        <v>17656.1308152174</v>
      </c>
      <c r="D6" s="14" t="n">
        <f aca="false">INDEX(Engine!$C$57:$Y$57,1,(Assumptions!$C$4-1)*6+3)</f>
        <v>25223.0440217391</v>
      </c>
      <c r="E6" s="14" t="n">
        <f aca="false">INDEX(Engine!$C$57:$Y$57,1,(Assumptions!$C$4-1)*6+4)</f>
        <v>32789.9572282609</v>
      </c>
      <c r="F6" s="14" t="n">
        <f aca="false">INDEX(Engine!$C$57:$Y$57,1,(Assumptions!$C$4-1)*6+5)</f>
        <v>32789.9572282609</v>
      </c>
    </row>
    <row r="7" customFormat="false" ht="15" hidden="false" customHeight="false" outlineLevel="0" collapsed="false">
      <c r="A7" s="33" t="s">
        <v>262</v>
      </c>
      <c r="B7" s="14" t="n">
        <f aca="false">INDEX(Engine!$C$59:$Y$59,1,(Assumptions!$C$4-1)*6+1)</f>
        <v>3792</v>
      </c>
      <c r="C7" s="14" t="n">
        <f aca="false">INDEX(Engine!$C$59:$Y$59,1,(Assumptions!$C$4-1)*6+2)</f>
        <v>6636</v>
      </c>
      <c r="D7" s="14" t="n">
        <f aca="false">INDEX(Engine!$C$59:$Y$59,1,(Assumptions!$C$4-1)*6+3)</f>
        <v>9480</v>
      </c>
      <c r="E7" s="14" t="n">
        <f aca="false">INDEX(Engine!$C$59:$Y$59,1,(Assumptions!$C$4-1)*6+4)</f>
        <v>12324</v>
      </c>
      <c r="F7" s="14" t="n">
        <f aca="false">INDEX(Engine!$C$59:$Y$59,1,(Assumptions!$C$4-1)*6+5)</f>
        <v>12324</v>
      </c>
    </row>
    <row r="8" customFormat="false" ht="15" hidden="false" customHeight="false" outlineLevel="0" collapsed="false">
      <c r="A8" s="33" t="s">
        <v>263</v>
      </c>
      <c r="B8" s="14" t="n">
        <f aca="false">INDEX(Engine!$C$61:$Y$61,1,(Assumptions!$C$4-1)*6+1)</f>
        <v>4258.3584528612</v>
      </c>
      <c r="C8" s="14" t="n">
        <f aca="false">INDEX(Engine!$C$61:$Y$61,1,(Assumptions!$C$4-1)*6+2)</f>
        <v>6618.05799902884</v>
      </c>
      <c r="D8" s="14" t="n">
        <f aca="false">INDEX(Engine!$C$61:$Y$61,1,(Assumptions!$C$4-1)*6+3)</f>
        <v>8977.75754519648</v>
      </c>
      <c r="E8" s="14" t="n">
        <f aca="false">INDEX(Engine!$C$61:$Y$61,1,(Assumptions!$C$4-1)*6+4)</f>
        <v>10225.3647000598</v>
      </c>
      <c r="F8" s="14" t="n">
        <f aca="false">INDEX(Engine!$C$61:$Y$61,1,(Assumptions!$C$4-1)*6+5)</f>
        <v>10225.3647000598</v>
      </c>
    </row>
    <row r="9" customFormat="false" ht="15" hidden="false" customHeight="false" outlineLevel="0" collapsed="false">
      <c r="A9" s="33" t="s">
        <v>264</v>
      </c>
      <c r="B9" s="14" t="n">
        <f aca="false">INDEX(Engine!$C$60:$Y$60,1,(Assumptions!$C$4-1)*6+1)</f>
        <v>0</v>
      </c>
      <c r="C9" s="14" t="n">
        <f aca="false">INDEX(Engine!$C$60:$Y$60,1,(Assumptions!$C$4-1)*6+2)</f>
        <v>4915.33150684932</v>
      </c>
      <c r="D9" s="14" t="n">
        <f aca="false">INDEX(Engine!$C$60:$Y$60,1,(Assumptions!$C$4-1)*6+3)</f>
        <v>8601.8301369863</v>
      </c>
      <c r="E9" s="14" t="n">
        <f aca="false">INDEX(Engine!$C$60:$Y$60,1,(Assumptions!$C$4-1)*6+4)</f>
        <v>12288.3287671233</v>
      </c>
      <c r="F9" s="14" t="n">
        <f aca="false">INDEX(Engine!$C$60:$Y$60,1,(Assumptions!$C$4-1)*6+5)</f>
        <v>15974.8273972603</v>
      </c>
    </row>
    <row r="10" customFormat="false" ht="15" hidden="false" customHeight="false" outlineLevel="0" collapsed="false">
      <c r="A10" s="33" t="s">
        <v>265</v>
      </c>
      <c r="B10" s="14" t="n">
        <f aca="false">INDEX(Engine!$C$63:$Y$63,1,(Assumptions!$C$4-1)*6+1)</f>
        <v>708.813924456522</v>
      </c>
      <c r="C10" s="14" t="n">
        <f aca="false">INDEX(Engine!$C$63:$Y$63,1,(Assumptions!$C$4-1)*6+2)</f>
        <v>2035.61128799849</v>
      </c>
      <c r="D10" s="14" t="n">
        <f aca="false">INDEX(Engine!$C$63:$Y$63,1,(Assumptions!$C$4-1)*6+3)</f>
        <v>3163.61192149056</v>
      </c>
      <c r="E10" s="14" t="n">
        <f aca="false">INDEX(Engine!$C$63:$Y$63,1,(Assumptions!$C$4-1)*6+4)</f>
        <v>4291.61255498263</v>
      </c>
      <c r="F10" s="14" t="n">
        <f aca="false">INDEX(Engine!$C$63:$Y$63,1,(Assumptions!$C$4-1)*6+5)</f>
        <v>4888.00274513231</v>
      </c>
    </row>
    <row r="11" customFormat="false" ht="15" hidden="false" customHeight="false" outlineLevel="0" collapsed="false">
      <c r="A11" s="33" t="s">
        <v>266</v>
      </c>
      <c r="B11" s="14" t="n">
        <f aca="false">INDEX(Engine!$C$64:$Y$64,1,(Assumptions!$C$4-1)*6+1)</f>
        <v>2160.82191780822</v>
      </c>
      <c r="C11" s="14" t="n">
        <f aca="false">INDEX(Engine!$C$64:$Y$64,1,(Assumptions!$C$4-1)*6+2)</f>
        <v>1871.50684931507</v>
      </c>
      <c r="D11" s="14" t="n">
        <f aca="false">INDEX(Engine!$C$64:$Y$64,1,(Assumptions!$C$4-1)*6+3)</f>
        <v>1835.34246575342</v>
      </c>
      <c r="E11" s="14" t="n">
        <f aca="false">INDEX(Engine!$C$64:$Y$64,1,(Assumptions!$C$4-1)*6+4)</f>
        <v>1980</v>
      </c>
      <c r="F11" s="14" t="n">
        <f aca="false">INDEX(Engine!$C$64:$Y$64,1,(Assumptions!$C$4-1)*6+5)</f>
        <v>1998.08219178082</v>
      </c>
    </row>
    <row r="12" customFormat="false" ht="15" hidden="false" customHeight="false" outlineLevel="0" collapsed="false">
      <c r="A12" s="33" t="s">
        <v>267</v>
      </c>
      <c r="B12" s="14" t="n">
        <f aca="false">INDEX(Engine!$C$66:$Y$66,1,(Assumptions!$C$4-1)*6+1)</f>
        <v>0</v>
      </c>
      <c r="C12" s="14" t="n">
        <f aca="false">INDEX(Engine!$C$66:$Y$66,1,(Assumptions!$C$4-1)*6+2)</f>
        <v>1729.84462809917</v>
      </c>
      <c r="D12" s="14" t="n">
        <f aca="false">INDEX(Engine!$C$66:$Y$66,1,(Assumptions!$C$4-1)*6+3)</f>
        <v>3027.22809917355</v>
      </c>
      <c r="E12" s="14" t="n">
        <f aca="false">INDEX(Engine!$C$66:$Y$66,1,(Assumptions!$C$4-1)*6+4)</f>
        <v>4324.61157024793</v>
      </c>
      <c r="F12" s="14" t="n">
        <f aca="false">INDEX(Engine!$C$66:$Y$66,1,(Assumptions!$C$4-1)*6+5)</f>
        <v>5621.99504132231</v>
      </c>
    </row>
    <row r="13" customFormat="false" ht="15" hidden="false" customHeight="false" outlineLevel="0" collapsed="false">
      <c r="A13" s="34" t="s">
        <v>268</v>
      </c>
      <c r="B13" s="7" t="n">
        <f aca="false">INDEX(Engine!$C$67:$Y$67,1,(Assumptions!$C$4-1)*6+1)</f>
        <v>16687.5680682052</v>
      </c>
      <c r="C13" s="7" t="n">
        <f aca="false">INDEX(Engine!$C$67:$Y$67,1,(Assumptions!$C$4-1)*6+2)</f>
        <v>34259.7801316798</v>
      </c>
      <c r="D13" s="7" t="n">
        <f aca="false">INDEX(Engine!$C$67:$Y$67,1,(Assumptions!$C$4-1)*6+3)</f>
        <v>50583.6730604855</v>
      </c>
      <c r="E13" s="7" t="n">
        <f aca="false">INDEX(Engine!$C$67:$Y$67,1,(Assumptions!$C$4-1)*6+4)</f>
        <v>65614.6516801786</v>
      </c>
      <c r="F13" s="7" t="n">
        <f aca="false">INDEX(Engine!$C$67:$Y$67,1,(Assumptions!$C$4-1)*6+5)</f>
        <v>68582.0748376101</v>
      </c>
    </row>
    <row r="14" customFormat="false" ht="15" hidden="false" customHeight="false" outlineLevel="0" collapsed="false">
      <c r="A14" s="33" t="s">
        <v>269</v>
      </c>
      <c r="B14" s="14" t="n">
        <f aca="false">INDEX(Engine!$C$68:$Y$68,1,(Assumptions!$C$4-1)*6+1)</f>
        <v>16687.5680682052</v>
      </c>
      <c r="C14" s="14" t="n">
        <f aca="false">INDEX(Engine!$C$68:$Y$68,1,(Assumptions!$C$4-1)*6+2)</f>
        <v>17572.2120634746</v>
      </c>
      <c r="D14" s="14" t="n">
        <f aca="false">INDEX(Engine!$C$68:$Y$68,1,(Assumptions!$C$4-1)*6+3)</f>
        <v>16323.8929288057</v>
      </c>
      <c r="E14" s="14" t="n">
        <f aca="false">INDEX(Engine!$C$68:$Y$68,1,(Assumptions!$C$4-1)*6+4)</f>
        <v>15030.9786196931</v>
      </c>
      <c r="F14" s="14" t="n">
        <f aca="false">INDEX(Engine!$C$68:$Y$68,1,(Assumptions!$C$4-1)*6+5)</f>
        <v>2967.42315743146</v>
      </c>
    </row>
    <row r="18" customFormat="false" ht="15" hidden="false" customHeight="false" outlineLevel="0" collapsed="false">
      <c r="A18" s="23" t="s">
        <v>270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customFormat="false" ht="15" hidden="false" customHeight="false" outlineLevel="0" collapsed="false">
      <c r="A19" s="3" t="s">
        <v>271</v>
      </c>
      <c r="B19" s="30" t="n">
        <v>3000</v>
      </c>
    </row>
    <row r="20" customFormat="false" ht="15" hidden="false" customHeight="false" outlineLevel="0" collapsed="false">
      <c r="A20" s="3" t="s">
        <v>272</v>
      </c>
      <c r="B20" s="30" t="n">
        <v>12</v>
      </c>
    </row>
    <row r="21" customFormat="false" ht="15" hidden="false" customHeight="false" outlineLevel="0" collapsed="false">
      <c r="A21" s="3" t="s">
        <v>273</v>
      </c>
      <c r="B21" s="25" t="n">
        <v>1</v>
      </c>
    </row>
    <row r="22" customFormat="false" ht="15" hidden="false" customHeight="false" outlineLevel="0" collapsed="false">
      <c r="A22" s="3" t="s">
        <v>274</v>
      </c>
      <c r="B22" s="13" t="n">
        <f aca="false">Assumptions!$G$48</f>
        <v>5</v>
      </c>
    </row>
    <row r="23" customFormat="false" ht="15" hidden="false" customHeight="false" outlineLevel="0" collapsed="false">
      <c r="A23" s="3" t="s">
        <v>275</v>
      </c>
      <c r="B23" s="13" t="n">
        <f aca="false">ROUND(Assumptions!$C$24/30,0)</f>
        <v>2</v>
      </c>
    </row>
    <row r="25" customFormat="false" ht="15" hidden="false" customHeight="false" outlineLevel="0" collapsed="false">
      <c r="A25" s="3" t="s">
        <v>276</v>
      </c>
      <c r="B25" s="35" t="n">
        <v>0</v>
      </c>
      <c r="C25" s="35" t="n">
        <v>1</v>
      </c>
      <c r="D25" s="35" t="n">
        <v>2</v>
      </c>
      <c r="E25" s="35" t="n">
        <v>3</v>
      </c>
      <c r="F25" s="35" t="n">
        <v>4</v>
      </c>
      <c r="G25" s="35" t="n">
        <v>5</v>
      </c>
      <c r="H25" s="35" t="n">
        <v>6</v>
      </c>
      <c r="I25" s="35" t="n">
        <v>7</v>
      </c>
      <c r="J25" s="35" t="n">
        <v>8</v>
      </c>
      <c r="K25" s="35" t="n">
        <v>9</v>
      </c>
      <c r="L25" s="35" t="n">
        <v>10</v>
      </c>
      <c r="M25" s="35" t="n">
        <v>11</v>
      </c>
      <c r="N25" s="35" t="n">
        <v>12</v>
      </c>
      <c r="O25" s="35" t="n">
        <v>13</v>
      </c>
      <c r="P25" s="35" t="n">
        <v>14</v>
      </c>
      <c r="Q25" s="35" t="n">
        <v>15</v>
      </c>
      <c r="R25" s="35" t="n">
        <v>16</v>
      </c>
      <c r="S25" s="35" t="n">
        <v>17</v>
      </c>
      <c r="T25" s="35" t="n">
        <v>18</v>
      </c>
      <c r="U25" s="35" t="n">
        <v>19</v>
      </c>
      <c r="V25" s="35" t="n">
        <v>20</v>
      </c>
      <c r="W25" s="35" t="n">
        <v>21</v>
      </c>
      <c r="X25" s="35" t="n">
        <v>22</v>
      </c>
      <c r="Y25" s="35" t="n">
        <v>23</v>
      </c>
      <c r="Z25" s="35" t="n">
        <v>24</v>
      </c>
    </row>
    <row r="26" customFormat="false" ht="15" hidden="false" customHeight="false" outlineLevel="0" collapsed="false">
      <c r="A26" s="0" t="s">
        <v>277</v>
      </c>
      <c r="B26" s="13" t="n">
        <f aca="false">IF(B$25=0,-Assumptions!$C$23*$B$19*(INDEX(Engine!$C$20:$Y$20,1,(Assumptions!$C$4-1)*6+2)+INDEX(Engine!$C$21:$Y$21,1,(Assumptions!$C$4-1)*6+2)+Assumptions!$G$42),0)</f>
        <v>-10676.0869565217</v>
      </c>
      <c r="C26" s="13" t="n">
        <f aca="false">IF(C$25=0,-Assumptions!$C$23*$B$19*(INDEX(Engine!$C$20:$Y$20,1,(Assumptions!$C$4-1)*6+2)+INDEX(Engine!$C$21:$Y$21,1,(Assumptions!$C$4-1)*6+2)+Assumptions!$G$42),0)</f>
        <v>0</v>
      </c>
      <c r="D26" s="13" t="n">
        <f aca="false">IF(D$25=0,-Assumptions!$C$23*$B$19*(INDEX(Engine!$C$20:$Y$20,1,(Assumptions!$C$4-1)*6+2)+INDEX(Engine!$C$21:$Y$21,1,(Assumptions!$C$4-1)*6+2)+Assumptions!$G$42),0)</f>
        <v>0</v>
      </c>
      <c r="E26" s="13" t="n">
        <f aca="false">IF(E$25=0,-Assumptions!$C$23*$B$19*(INDEX(Engine!$C$20:$Y$20,1,(Assumptions!$C$4-1)*6+2)+INDEX(Engine!$C$21:$Y$21,1,(Assumptions!$C$4-1)*6+2)+Assumptions!$G$42),0)</f>
        <v>0</v>
      </c>
      <c r="F26" s="13" t="n">
        <f aca="false">IF(F$25=0,-Assumptions!$C$23*$B$19*(INDEX(Engine!$C$20:$Y$20,1,(Assumptions!$C$4-1)*6+2)+INDEX(Engine!$C$21:$Y$21,1,(Assumptions!$C$4-1)*6+2)+Assumptions!$G$42),0)</f>
        <v>0</v>
      </c>
      <c r="G26" s="13" t="n">
        <f aca="false">IF(G$25=0,-Assumptions!$C$23*$B$19*(INDEX(Engine!$C$20:$Y$20,1,(Assumptions!$C$4-1)*6+2)+INDEX(Engine!$C$21:$Y$21,1,(Assumptions!$C$4-1)*6+2)+Assumptions!$G$42),0)</f>
        <v>0</v>
      </c>
      <c r="H26" s="13" t="n">
        <f aca="false">IF(H$25=0,-Assumptions!$C$23*$B$19*(INDEX(Engine!$C$20:$Y$20,1,(Assumptions!$C$4-1)*6+2)+INDEX(Engine!$C$21:$Y$21,1,(Assumptions!$C$4-1)*6+2)+Assumptions!$G$42),0)</f>
        <v>0</v>
      </c>
      <c r="I26" s="13" t="n">
        <f aca="false">IF(I$25=0,-Assumptions!$C$23*$B$19*(INDEX(Engine!$C$20:$Y$20,1,(Assumptions!$C$4-1)*6+2)+INDEX(Engine!$C$21:$Y$21,1,(Assumptions!$C$4-1)*6+2)+Assumptions!$G$42),0)</f>
        <v>0</v>
      </c>
      <c r="J26" s="13" t="n">
        <f aca="false">IF(J$25=0,-Assumptions!$C$23*$B$19*(INDEX(Engine!$C$20:$Y$20,1,(Assumptions!$C$4-1)*6+2)+INDEX(Engine!$C$21:$Y$21,1,(Assumptions!$C$4-1)*6+2)+Assumptions!$G$42),0)</f>
        <v>0</v>
      </c>
      <c r="K26" s="13" t="n">
        <f aca="false">IF(K$25=0,-Assumptions!$C$23*$B$19*(INDEX(Engine!$C$20:$Y$20,1,(Assumptions!$C$4-1)*6+2)+INDEX(Engine!$C$21:$Y$21,1,(Assumptions!$C$4-1)*6+2)+Assumptions!$G$42),0)</f>
        <v>0</v>
      </c>
      <c r="L26" s="13" t="n">
        <f aca="false">IF(L$25=0,-Assumptions!$C$23*$B$19*(INDEX(Engine!$C$20:$Y$20,1,(Assumptions!$C$4-1)*6+2)+INDEX(Engine!$C$21:$Y$21,1,(Assumptions!$C$4-1)*6+2)+Assumptions!$G$42),0)</f>
        <v>0</v>
      </c>
      <c r="M26" s="13" t="n">
        <f aca="false">IF(M$25=0,-Assumptions!$C$23*$B$19*(INDEX(Engine!$C$20:$Y$20,1,(Assumptions!$C$4-1)*6+2)+INDEX(Engine!$C$21:$Y$21,1,(Assumptions!$C$4-1)*6+2)+Assumptions!$G$42),0)</f>
        <v>0</v>
      </c>
      <c r="N26" s="13" t="n">
        <f aca="false">IF(N$25=0,-Assumptions!$C$23*$B$19*(INDEX(Engine!$C$20:$Y$20,1,(Assumptions!$C$4-1)*6+2)+INDEX(Engine!$C$21:$Y$21,1,(Assumptions!$C$4-1)*6+2)+Assumptions!$G$42),0)</f>
        <v>0</v>
      </c>
      <c r="O26" s="13" t="n">
        <f aca="false">IF(O$25=0,-Assumptions!$C$23*$B$19*(INDEX(Engine!$C$20:$Y$20,1,(Assumptions!$C$4-1)*6+2)+INDEX(Engine!$C$21:$Y$21,1,(Assumptions!$C$4-1)*6+2)+Assumptions!$G$42),0)</f>
        <v>0</v>
      </c>
      <c r="P26" s="13" t="n">
        <f aca="false">IF(P$25=0,-Assumptions!$C$23*$B$19*(INDEX(Engine!$C$20:$Y$20,1,(Assumptions!$C$4-1)*6+2)+INDEX(Engine!$C$21:$Y$21,1,(Assumptions!$C$4-1)*6+2)+Assumptions!$G$42),0)</f>
        <v>0</v>
      </c>
      <c r="Q26" s="13" t="n">
        <f aca="false">IF(Q$25=0,-Assumptions!$C$23*$B$19*(INDEX(Engine!$C$20:$Y$20,1,(Assumptions!$C$4-1)*6+2)+INDEX(Engine!$C$21:$Y$21,1,(Assumptions!$C$4-1)*6+2)+Assumptions!$G$42),0)</f>
        <v>0</v>
      </c>
      <c r="R26" s="13" t="n">
        <f aca="false">IF(R$25=0,-Assumptions!$C$23*$B$19*(INDEX(Engine!$C$20:$Y$20,1,(Assumptions!$C$4-1)*6+2)+INDEX(Engine!$C$21:$Y$21,1,(Assumptions!$C$4-1)*6+2)+Assumptions!$G$42),0)</f>
        <v>0</v>
      </c>
      <c r="S26" s="13" t="n">
        <f aca="false">IF(S$25=0,-Assumptions!$C$23*$B$19*(INDEX(Engine!$C$20:$Y$20,1,(Assumptions!$C$4-1)*6+2)+INDEX(Engine!$C$21:$Y$21,1,(Assumptions!$C$4-1)*6+2)+Assumptions!$G$42),0)</f>
        <v>0</v>
      </c>
      <c r="T26" s="13" t="n">
        <f aca="false">IF(T$25=0,-Assumptions!$C$23*$B$19*(INDEX(Engine!$C$20:$Y$20,1,(Assumptions!$C$4-1)*6+2)+INDEX(Engine!$C$21:$Y$21,1,(Assumptions!$C$4-1)*6+2)+Assumptions!$G$42),0)</f>
        <v>0</v>
      </c>
      <c r="U26" s="13" t="n">
        <f aca="false">IF(U$25=0,-Assumptions!$C$23*$B$19*(INDEX(Engine!$C$20:$Y$20,1,(Assumptions!$C$4-1)*6+2)+INDEX(Engine!$C$21:$Y$21,1,(Assumptions!$C$4-1)*6+2)+Assumptions!$G$42),0)</f>
        <v>0</v>
      </c>
      <c r="V26" s="13" t="n">
        <f aca="false">IF(V$25=0,-Assumptions!$C$23*$B$19*(INDEX(Engine!$C$20:$Y$20,1,(Assumptions!$C$4-1)*6+2)+INDEX(Engine!$C$21:$Y$21,1,(Assumptions!$C$4-1)*6+2)+Assumptions!$G$42),0)</f>
        <v>0</v>
      </c>
      <c r="W26" s="13" t="n">
        <f aca="false">IF(W$25=0,-Assumptions!$C$23*$B$19*(INDEX(Engine!$C$20:$Y$20,1,(Assumptions!$C$4-1)*6+2)+INDEX(Engine!$C$21:$Y$21,1,(Assumptions!$C$4-1)*6+2)+Assumptions!$G$42),0)</f>
        <v>0</v>
      </c>
      <c r="X26" s="13" t="n">
        <f aca="false">IF(X$25=0,-Assumptions!$C$23*$B$19*(INDEX(Engine!$C$20:$Y$20,1,(Assumptions!$C$4-1)*6+2)+INDEX(Engine!$C$21:$Y$21,1,(Assumptions!$C$4-1)*6+2)+Assumptions!$G$42),0)</f>
        <v>0</v>
      </c>
      <c r="Y26" s="13" t="n">
        <f aca="false">IF(Y$25=0,-Assumptions!$C$23*$B$19*(INDEX(Engine!$C$20:$Y$20,1,(Assumptions!$C$4-1)*6+2)+INDEX(Engine!$C$21:$Y$21,1,(Assumptions!$C$4-1)*6+2)+Assumptions!$G$42),0)</f>
        <v>0</v>
      </c>
      <c r="Z26" s="13" t="n">
        <f aca="false">IF(Z$25=0,-Assumptions!$C$23*$B$19*(INDEX(Engine!$C$20:$Y$20,1,(Assumptions!$C$4-1)*6+2)+INDEX(Engine!$C$21:$Y$21,1,(Assumptions!$C$4-1)*6+2)+Assumptions!$G$42),0)</f>
        <v>0</v>
      </c>
    </row>
    <row r="27" customFormat="false" ht="15" hidden="false" customHeight="false" outlineLevel="0" collapsed="false">
      <c r="A27" s="0" t="s">
        <v>278</v>
      </c>
      <c r="B27" s="13" t="n">
        <f aca="false">IF(B$25=$B$22-1,-(1-Assumptions!$C$23)*$B$19*(INDEX(Engine!$C$20:$Y$20,1,(Assumptions!$C$4-1)*6+2)+INDEX(Engine!$C$21:$Y$21,1,(Assumptions!$C$4-1)*6+2)+Assumptions!$G$42),0)</f>
        <v>0</v>
      </c>
      <c r="C27" s="13" t="n">
        <f aca="false">IF(C$25=$B$22-1,-(1-Assumptions!$C$23)*$B$19*(INDEX(Engine!$C$20:$Y$20,1,(Assumptions!$C$4-1)*6+2)+INDEX(Engine!$C$21:$Y$21,1,(Assumptions!$C$4-1)*6+2)+Assumptions!$G$42),0)</f>
        <v>0</v>
      </c>
      <c r="D27" s="13" t="n">
        <f aca="false">IF(D$25=$B$22-1,-(1-Assumptions!$C$23)*$B$19*(INDEX(Engine!$C$20:$Y$20,1,(Assumptions!$C$4-1)*6+2)+INDEX(Engine!$C$21:$Y$21,1,(Assumptions!$C$4-1)*6+2)+Assumptions!$G$42),0)</f>
        <v>0</v>
      </c>
      <c r="E27" s="13" t="n">
        <f aca="false">IF(E$25=$B$22-1,-(1-Assumptions!$C$23)*$B$19*(INDEX(Engine!$C$20:$Y$20,1,(Assumptions!$C$4-1)*6+2)+INDEX(Engine!$C$21:$Y$21,1,(Assumptions!$C$4-1)*6+2)+Assumptions!$G$42),0)</f>
        <v>0</v>
      </c>
      <c r="F27" s="13" t="n">
        <f aca="false">IF(F$25=$B$22-1,-(1-Assumptions!$C$23)*$B$19*(INDEX(Engine!$C$20:$Y$20,1,(Assumptions!$C$4-1)*6+2)+INDEX(Engine!$C$21:$Y$21,1,(Assumptions!$C$4-1)*6+2)+Assumptions!$G$42),0)</f>
        <v>-10676.0869565217</v>
      </c>
      <c r="G27" s="13" t="n">
        <f aca="false">IF(G$25=$B$22-1,-(1-Assumptions!$C$23)*$B$19*(INDEX(Engine!$C$20:$Y$20,1,(Assumptions!$C$4-1)*6+2)+INDEX(Engine!$C$21:$Y$21,1,(Assumptions!$C$4-1)*6+2)+Assumptions!$G$42),0)</f>
        <v>0</v>
      </c>
      <c r="H27" s="13" t="n">
        <f aca="false">IF(H$25=$B$22-1,-(1-Assumptions!$C$23)*$B$19*(INDEX(Engine!$C$20:$Y$20,1,(Assumptions!$C$4-1)*6+2)+INDEX(Engine!$C$21:$Y$21,1,(Assumptions!$C$4-1)*6+2)+Assumptions!$G$42),0)</f>
        <v>0</v>
      </c>
      <c r="I27" s="13" t="n">
        <f aca="false">IF(I$25=$B$22-1,-(1-Assumptions!$C$23)*$B$19*(INDEX(Engine!$C$20:$Y$20,1,(Assumptions!$C$4-1)*6+2)+INDEX(Engine!$C$21:$Y$21,1,(Assumptions!$C$4-1)*6+2)+Assumptions!$G$42),0)</f>
        <v>0</v>
      </c>
      <c r="J27" s="13" t="n">
        <f aca="false">IF(J$25=$B$22-1,-(1-Assumptions!$C$23)*$B$19*(INDEX(Engine!$C$20:$Y$20,1,(Assumptions!$C$4-1)*6+2)+INDEX(Engine!$C$21:$Y$21,1,(Assumptions!$C$4-1)*6+2)+Assumptions!$G$42),0)</f>
        <v>0</v>
      </c>
      <c r="K27" s="13" t="n">
        <f aca="false">IF(K$25=$B$22-1,-(1-Assumptions!$C$23)*$B$19*(INDEX(Engine!$C$20:$Y$20,1,(Assumptions!$C$4-1)*6+2)+INDEX(Engine!$C$21:$Y$21,1,(Assumptions!$C$4-1)*6+2)+Assumptions!$G$42),0)</f>
        <v>0</v>
      </c>
      <c r="L27" s="13" t="n">
        <f aca="false">IF(L$25=$B$22-1,-(1-Assumptions!$C$23)*$B$19*(INDEX(Engine!$C$20:$Y$20,1,(Assumptions!$C$4-1)*6+2)+INDEX(Engine!$C$21:$Y$21,1,(Assumptions!$C$4-1)*6+2)+Assumptions!$G$42),0)</f>
        <v>0</v>
      </c>
      <c r="M27" s="13" t="n">
        <f aca="false">IF(M$25=$B$22-1,-(1-Assumptions!$C$23)*$B$19*(INDEX(Engine!$C$20:$Y$20,1,(Assumptions!$C$4-1)*6+2)+INDEX(Engine!$C$21:$Y$21,1,(Assumptions!$C$4-1)*6+2)+Assumptions!$G$42),0)</f>
        <v>0</v>
      </c>
      <c r="N27" s="13" t="n">
        <f aca="false">IF(N$25=$B$22-1,-(1-Assumptions!$C$23)*$B$19*(INDEX(Engine!$C$20:$Y$20,1,(Assumptions!$C$4-1)*6+2)+INDEX(Engine!$C$21:$Y$21,1,(Assumptions!$C$4-1)*6+2)+Assumptions!$G$42),0)</f>
        <v>0</v>
      </c>
      <c r="O27" s="13" t="n">
        <f aca="false">IF(O$25=$B$22-1,-(1-Assumptions!$C$23)*$B$19*(INDEX(Engine!$C$20:$Y$20,1,(Assumptions!$C$4-1)*6+2)+INDEX(Engine!$C$21:$Y$21,1,(Assumptions!$C$4-1)*6+2)+Assumptions!$G$42),0)</f>
        <v>0</v>
      </c>
      <c r="P27" s="13" t="n">
        <f aca="false">IF(P$25=$B$22-1,-(1-Assumptions!$C$23)*$B$19*(INDEX(Engine!$C$20:$Y$20,1,(Assumptions!$C$4-1)*6+2)+INDEX(Engine!$C$21:$Y$21,1,(Assumptions!$C$4-1)*6+2)+Assumptions!$G$42),0)</f>
        <v>0</v>
      </c>
      <c r="Q27" s="13" t="n">
        <f aca="false">IF(Q$25=$B$22-1,-(1-Assumptions!$C$23)*$B$19*(INDEX(Engine!$C$20:$Y$20,1,(Assumptions!$C$4-1)*6+2)+INDEX(Engine!$C$21:$Y$21,1,(Assumptions!$C$4-1)*6+2)+Assumptions!$G$42),0)</f>
        <v>0</v>
      </c>
      <c r="R27" s="13" t="n">
        <f aca="false">IF(R$25=$B$22-1,-(1-Assumptions!$C$23)*$B$19*(INDEX(Engine!$C$20:$Y$20,1,(Assumptions!$C$4-1)*6+2)+INDEX(Engine!$C$21:$Y$21,1,(Assumptions!$C$4-1)*6+2)+Assumptions!$G$42),0)</f>
        <v>0</v>
      </c>
      <c r="S27" s="13" t="n">
        <f aca="false">IF(S$25=$B$22-1,-(1-Assumptions!$C$23)*$B$19*(INDEX(Engine!$C$20:$Y$20,1,(Assumptions!$C$4-1)*6+2)+INDEX(Engine!$C$21:$Y$21,1,(Assumptions!$C$4-1)*6+2)+Assumptions!$G$42),0)</f>
        <v>0</v>
      </c>
      <c r="T27" s="13" t="n">
        <f aca="false">IF(T$25=$B$22-1,-(1-Assumptions!$C$23)*$B$19*(INDEX(Engine!$C$20:$Y$20,1,(Assumptions!$C$4-1)*6+2)+INDEX(Engine!$C$21:$Y$21,1,(Assumptions!$C$4-1)*6+2)+Assumptions!$G$42),0)</f>
        <v>0</v>
      </c>
      <c r="U27" s="13" t="n">
        <f aca="false">IF(U$25=$B$22-1,-(1-Assumptions!$C$23)*$B$19*(INDEX(Engine!$C$20:$Y$20,1,(Assumptions!$C$4-1)*6+2)+INDEX(Engine!$C$21:$Y$21,1,(Assumptions!$C$4-1)*6+2)+Assumptions!$G$42),0)</f>
        <v>0</v>
      </c>
      <c r="V27" s="13" t="n">
        <f aca="false">IF(V$25=$B$22-1,-(1-Assumptions!$C$23)*$B$19*(INDEX(Engine!$C$20:$Y$20,1,(Assumptions!$C$4-1)*6+2)+INDEX(Engine!$C$21:$Y$21,1,(Assumptions!$C$4-1)*6+2)+Assumptions!$G$42),0)</f>
        <v>0</v>
      </c>
      <c r="W27" s="13" t="n">
        <f aca="false">IF(W$25=$B$22-1,-(1-Assumptions!$C$23)*$B$19*(INDEX(Engine!$C$20:$Y$20,1,(Assumptions!$C$4-1)*6+2)+INDEX(Engine!$C$21:$Y$21,1,(Assumptions!$C$4-1)*6+2)+Assumptions!$G$42),0)</f>
        <v>0</v>
      </c>
      <c r="X27" s="13" t="n">
        <f aca="false">IF(X$25=$B$22-1,-(1-Assumptions!$C$23)*$B$19*(INDEX(Engine!$C$20:$Y$20,1,(Assumptions!$C$4-1)*6+2)+INDEX(Engine!$C$21:$Y$21,1,(Assumptions!$C$4-1)*6+2)+Assumptions!$G$42),0)</f>
        <v>0</v>
      </c>
      <c r="Y27" s="13" t="n">
        <f aca="false">IF(Y$25=$B$22-1,-(1-Assumptions!$C$23)*$B$19*(INDEX(Engine!$C$20:$Y$20,1,(Assumptions!$C$4-1)*6+2)+INDEX(Engine!$C$21:$Y$21,1,(Assumptions!$C$4-1)*6+2)+Assumptions!$G$42),0)</f>
        <v>0</v>
      </c>
      <c r="Z27" s="13" t="n">
        <f aca="false">IF(Z$25=$B$22-1,-(1-Assumptions!$C$23)*$B$19*(INDEX(Engine!$C$20:$Y$20,1,(Assumptions!$C$4-1)*6+2)+INDEX(Engine!$C$21:$Y$21,1,(Assumptions!$C$4-1)*6+2)+Assumptions!$G$42),0)</f>
        <v>0</v>
      </c>
    </row>
    <row r="28" customFormat="false" ht="15" hidden="false" customHeight="false" outlineLevel="0" collapsed="false">
      <c r="A28" s="0" t="s">
        <v>279</v>
      </c>
      <c r="B28" s="13" t="n">
        <f aca="false">IF(B$25=$B$22-1,-$B$19*(INDEX(Engine!$C$22:$Y$22,1,(Assumptions!$C$4-1)*6+2)-(INDEX(Engine!$C$20:$Y$20,1,(Assumptions!$C$4-1)*6+2)+INDEX(Engine!$C$21:$Y$21,1,(Assumptions!$C$4-1)*6+2)+Assumptions!$G$42)),0)</f>
        <v>0</v>
      </c>
      <c r="C28" s="13" t="n">
        <f aca="false">IF(C$25=$B$22-1,-$B$19*(INDEX(Engine!$C$22:$Y$22,1,(Assumptions!$C$4-1)*6+2)-(INDEX(Engine!$C$20:$Y$20,1,(Assumptions!$C$4-1)*6+2)+INDEX(Engine!$C$21:$Y$21,1,(Assumptions!$C$4-1)*6+2)+Assumptions!$G$42)),0)</f>
        <v>0</v>
      </c>
      <c r="D28" s="13" t="n">
        <f aca="false">IF(D$25=$B$22-1,-$B$19*(INDEX(Engine!$C$22:$Y$22,1,(Assumptions!$C$4-1)*6+2)-(INDEX(Engine!$C$20:$Y$20,1,(Assumptions!$C$4-1)*6+2)+INDEX(Engine!$C$21:$Y$21,1,(Assumptions!$C$4-1)*6+2)+Assumptions!$G$42)),0)</f>
        <v>0</v>
      </c>
      <c r="E28" s="13" t="n">
        <f aca="false">IF(E$25=$B$22-1,-$B$19*(INDEX(Engine!$C$22:$Y$22,1,(Assumptions!$C$4-1)*6+2)-(INDEX(Engine!$C$20:$Y$20,1,(Assumptions!$C$4-1)*6+2)+INDEX(Engine!$C$21:$Y$21,1,(Assumptions!$C$4-1)*6+2)+Assumptions!$G$42)),0)</f>
        <v>0</v>
      </c>
      <c r="F28" s="13" t="n">
        <f aca="false">IF(F$25=$B$22-1,-$B$19*(INDEX(Engine!$C$22:$Y$22,1,(Assumptions!$C$4-1)*6+2)-(INDEX(Engine!$C$20:$Y$20,1,(Assumptions!$C$4-1)*6+2)+INDEX(Engine!$C$21:$Y$21,1,(Assumptions!$C$4-1)*6+2)+Assumptions!$G$42)),0)</f>
        <v>-1765.01086956521</v>
      </c>
      <c r="G28" s="13" t="n">
        <f aca="false">IF(G$25=$B$22-1,-$B$19*(INDEX(Engine!$C$22:$Y$22,1,(Assumptions!$C$4-1)*6+2)-(INDEX(Engine!$C$20:$Y$20,1,(Assumptions!$C$4-1)*6+2)+INDEX(Engine!$C$21:$Y$21,1,(Assumptions!$C$4-1)*6+2)+Assumptions!$G$42)),0)</f>
        <v>0</v>
      </c>
      <c r="H28" s="13" t="n">
        <f aca="false">IF(H$25=$B$22-1,-$B$19*(INDEX(Engine!$C$22:$Y$22,1,(Assumptions!$C$4-1)*6+2)-(INDEX(Engine!$C$20:$Y$20,1,(Assumptions!$C$4-1)*6+2)+INDEX(Engine!$C$21:$Y$21,1,(Assumptions!$C$4-1)*6+2)+Assumptions!$G$42)),0)</f>
        <v>0</v>
      </c>
      <c r="I28" s="13" t="n">
        <f aca="false">IF(I$25=$B$22-1,-$B$19*(INDEX(Engine!$C$22:$Y$22,1,(Assumptions!$C$4-1)*6+2)-(INDEX(Engine!$C$20:$Y$20,1,(Assumptions!$C$4-1)*6+2)+INDEX(Engine!$C$21:$Y$21,1,(Assumptions!$C$4-1)*6+2)+Assumptions!$G$42)),0)</f>
        <v>0</v>
      </c>
      <c r="J28" s="13" t="n">
        <f aca="false">IF(J$25=$B$22-1,-$B$19*(INDEX(Engine!$C$22:$Y$22,1,(Assumptions!$C$4-1)*6+2)-(INDEX(Engine!$C$20:$Y$20,1,(Assumptions!$C$4-1)*6+2)+INDEX(Engine!$C$21:$Y$21,1,(Assumptions!$C$4-1)*6+2)+Assumptions!$G$42)),0)</f>
        <v>0</v>
      </c>
      <c r="K28" s="13" t="n">
        <f aca="false">IF(K$25=$B$22-1,-$B$19*(INDEX(Engine!$C$22:$Y$22,1,(Assumptions!$C$4-1)*6+2)-(INDEX(Engine!$C$20:$Y$20,1,(Assumptions!$C$4-1)*6+2)+INDEX(Engine!$C$21:$Y$21,1,(Assumptions!$C$4-1)*6+2)+Assumptions!$G$42)),0)</f>
        <v>0</v>
      </c>
      <c r="L28" s="13" t="n">
        <f aca="false">IF(L$25=$B$22-1,-$B$19*(INDEX(Engine!$C$22:$Y$22,1,(Assumptions!$C$4-1)*6+2)-(INDEX(Engine!$C$20:$Y$20,1,(Assumptions!$C$4-1)*6+2)+INDEX(Engine!$C$21:$Y$21,1,(Assumptions!$C$4-1)*6+2)+Assumptions!$G$42)),0)</f>
        <v>0</v>
      </c>
      <c r="M28" s="13" t="n">
        <f aca="false">IF(M$25=$B$22-1,-$B$19*(INDEX(Engine!$C$22:$Y$22,1,(Assumptions!$C$4-1)*6+2)-(INDEX(Engine!$C$20:$Y$20,1,(Assumptions!$C$4-1)*6+2)+INDEX(Engine!$C$21:$Y$21,1,(Assumptions!$C$4-1)*6+2)+Assumptions!$G$42)),0)</f>
        <v>0</v>
      </c>
      <c r="N28" s="13" t="n">
        <f aca="false">IF(N$25=$B$22-1,-$B$19*(INDEX(Engine!$C$22:$Y$22,1,(Assumptions!$C$4-1)*6+2)-(INDEX(Engine!$C$20:$Y$20,1,(Assumptions!$C$4-1)*6+2)+INDEX(Engine!$C$21:$Y$21,1,(Assumptions!$C$4-1)*6+2)+Assumptions!$G$42)),0)</f>
        <v>0</v>
      </c>
      <c r="O28" s="13" t="n">
        <f aca="false">IF(O$25=$B$22-1,-$B$19*(INDEX(Engine!$C$22:$Y$22,1,(Assumptions!$C$4-1)*6+2)-(INDEX(Engine!$C$20:$Y$20,1,(Assumptions!$C$4-1)*6+2)+INDEX(Engine!$C$21:$Y$21,1,(Assumptions!$C$4-1)*6+2)+Assumptions!$G$42)),0)</f>
        <v>0</v>
      </c>
      <c r="P28" s="13" t="n">
        <f aca="false">IF(P$25=$B$22-1,-$B$19*(INDEX(Engine!$C$22:$Y$22,1,(Assumptions!$C$4-1)*6+2)-(INDEX(Engine!$C$20:$Y$20,1,(Assumptions!$C$4-1)*6+2)+INDEX(Engine!$C$21:$Y$21,1,(Assumptions!$C$4-1)*6+2)+Assumptions!$G$42)),0)</f>
        <v>0</v>
      </c>
      <c r="Q28" s="13" t="n">
        <f aca="false">IF(Q$25=$B$22-1,-$B$19*(INDEX(Engine!$C$22:$Y$22,1,(Assumptions!$C$4-1)*6+2)-(INDEX(Engine!$C$20:$Y$20,1,(Assumptions!$C$4-1)*6+2)+INDEX(Engine!$C$21:$Y$21,1,(Assumptions!$C$4-1)*6+2)+Assumptions!$G$42)),0)</f>
        <v>0</v>
      </c>
      <c r="R28" s="13" t="n">
        <f aca="false">IF(R$25=$B$22-1,-$B$19*(INDEX(Engine!$C$22:$Y$22,1,(Assumptions!$C$4-1)*6+2)-(INDEX(Engine!$C$20:$Y$20,1,(Assumptions!$C$4-1)*6+2)+INDEX(Engine!$C$21:$Y$21,1,(Assumptions!$C$4-1)*6+2)+Assumptions!$G$42)),0)</f>
        <v>0</v>
      </c>
      <c r="S28" s="13" t="n">
        <f aca="false">IF(S$25=$B$22-1,-$B$19*(INDEX(Engine!$C$22:$Y$22,1,(Assumptions!$C$4-1)*6+2)-(INDEX(Engine!$C$20:$Y$20,1,(Assumptions!$C$4-1)*6+2)+INDEX(Engine!$C$21:$Y$21,1,(Assumptions!$C$4-1)*6+2)+Assumptions!$G$42)),0)</f>
        <v>0</v>
      </c>
      <c r="T28" s="13" t="n">
        <f aca="false">IF(T$25=$B$22-1,-$B$19*(INDEX(Engine!$C$22:$Y$22,1,(Assumptions!$C$4-1)*6+2)-(INDEX(Engine!$C$20:$Y$20,1,(Assumptions!$C$4-1)*6+2)+INDEX(Engine!$C$21:$Y$21,1,(Assumptions!$C$4-1)*6+2)+Assumptions!$G$42)),0)</f>
        <v>0</v>
      </c>
      <c r="U28" s="13" t="n">
        <f aca="false">IF(U$25=$B$22-1,-$B$19*(INDEX(Engine!$C$22:$Y$22,1,(Assumptions!$C$4-1)*6+2)-(INDEX(Engine!$C$20:$Y$20,1,(Assumptions!$C$4-1)*6+2)+INDEX(Engine!$C$21:$Y$21,1,(Assumptions!$C$4-1)*6+2)+Assumptions!$G$42)),0)</f>
        <v>0</v>
      </c>
      <c r="V28" s="13" t="n">
        <f aca="false">IF(V$25=$B$22-1,-$B$19*(INDEX(Engine!$C$22:$Y$22,1,(Assumptions!$C$4-1)*6+2)-(INDEX(Engine!$C$20:$Y$20,1,(Assumptions!$C$4-1)*6+2)+INDEX(Engine!$C$21:$Y$21,1,(Assumptions!$C$4-1)*6+2)+Assumptions!$G$42)),0)</f>
        <v>0</v>
      </c>
      <c r="W28" s="13" t="n">
        <f aca="false">IF(W$25=$B$22-1,-$B$19*(INDEX(Engine!$C$22:$Y$22,1,(Assumptions!$C$4-1)*6+2)-(INDEX(Engine!$C$20:$Y$20,1,(Assumptions!$C$4-1)*6+2)+INDEX(Engine!$C$21:$Y$21,1,(Assumptions!$C$4-1)*6+2)+Assumptions!$G$42)),0)</f>
        <v>0</v>
      </c>
      <c r="X28" s="13" t="n">
        <f aca="false">IF(X$25=$B$22-1,-$B$19*(INDEX(Engine!$C$22:$Y$22,1,(Assumptions!$C$4-1)*6+2)-(INDEX(Engine!$C$20:$Y$20,1,(Assumptions!$C$4-1)*6+2)+INDEX(Engine!$C$21:$Y$21,1,(Assumptions!$C$4-1)*6+2)+Assumptions!$G$42)),0)</f>
        <v>0</v>
      </c>
      <c r="Y28" s="13" t="n">
        <f aca="false">IF(Y$25=$B$22-1,-$B$19*(INDEX(Engine!$C$22:$Y$22,1,(Assumptions!$C$4-1)*6+2)-(INDEX(Engine!$C$20:$Y$20,1,(Assumptions!$C$4-1)*6+2)+INDEX(Engine!$C$21:$Y$21,1,(Assumptions!$C$4-1)*6+2)+Assumptions!$G$42)),0)</f>
        <v>0</v>
      </c>
      <c r="Z28" s="13" t="n">
        <f aca="false">IF(Z$25=$B$22-1,-$B$19*(INDEX(Engine!$C$22:$Y$22,1,(Assumptions!$C$4-1)*6+2)-(INDEX(Engine!$C$20:$Y$20,1,(Assumptions!$C$4-1)*6+2)+INDEX(Engine!$C$21:$Y$21,1,(Assumptions!$C$4-1)*6+2)+Assumptions!$G$42)),0)</f>
        <v>0</v>
      </c>
    </row>
    <row r="29" customFormat="false" ht="15" hidden="false" customHeight="false" outlineLevel="0" collapsed="false">
      <c r="A29" s="0" t="s">
        <v>280</v>
      </c>
      <c r="B29" s="13" t="n">
        <f aca="false">IF(B$25=$B$22,-($B$19*INDEX(Engine!$C$23:$Y$23,1,(Assumptions!$C$4-1)*6+2)+Assumptions!$C$17+$B$19*(Assumptions!$C$16+Assumptions!$G$44)),0)</f>
        <v>0</v>
      </c>
      <c r="C29" s="13" t="n">
        <f aca="false">IF(C$25=$B$22,-($B$19*INDEX(Engine!$C$23:$Y$23,1,(Assumptions!$C$4-1)*6+2)+Assumptions!$C$17+$B$19*(Assumptions!$C$16+Assumptions!$G$44)),0)</f>
        <v>0</v>
      </c>
      <c r="D29" s="13" t="n">
        <f aca="false">IF(D$25=$B$22,-($B$19*INDEX(Engine!$C$23:$Y$23,1,(Assumptions!$C$4-1)*6+2)+Assumptions!$C$17+$B$19*(Assumptions!$C$16+Assumptions!$G$44)),0)</f>
        <v>0</v>
      </c>
      <c r="E29" s="13" t="n">
        <f aca="false">IF(E$25=$B$22,-($B$19*INDEX(Engine!$C$23:$Y$23,1,(Assumptions!$C$4-1)*6+2)+Assumptions!$C$17+$B$19*(Assumptions!$C$16+Assumptions!$G$44)),0)</f>
        <v>0</v>
      </c>
      <c r="F29" s="13" t="n">
        <f aca="false">IF(F$25=$B$22,-($B$19*INDEX(Engine!$C$23:$Y$23,1,(Assumptions!$C$4-1)*6+2)+Assumptions!$C$17+$B$19*(Assumptions!$C$16+Assumptions!$G$44)),0)</f>
        <v>0</v>
      </c>
      <c r="G29" s="13" t="n">
        <f aca="false">IF(G$25=$B$22,-($B$19*INDEX(Engine!$C$23:$Y$23,1,(Assumptions!$C$4-1)*6+2)+Assumptions!$C$17+$B$19*(Assumptions!$C$16+Assumptions!$G$44)),0)</f>
        <v>-7600.46804347826</v>
      </c>
      <c r="H29" s="13" t="n">
        <f aca="false">IF(H$25=$B$22,-($B$19*INDEX(Engine!$C$23:$Y$23,1,(Assumptions!$C$4-1)*6+2)+Assumptions!$C$17+$B$19*(Assumptions!$C$16+Assumptions!$G$44)),0)</f>
        <v>0</v>
      </c>
      <c r="I29" s="13" t="n">
        <f aca="false">IF(I$25=$B$22,-($B$19*INDEX(Engine!$C$23:$Y$23,1,(Assumptions!$C$4-1)*6+2)+Assumptions!$C$17+$B$19*(Assumptions!$C$16+Assumptions!$G$44)),0)</f>
        <v>0</v>
      </c>
      <c r="J29" s="13" t="n">
        <f aca="false">IF(J$25=$B$22,-($B$19*INDEX(Engine!$C$23:$Y$23,1,(Assumptions!$C$4-1)*6+2)+Assumptions!$C$17+$B$19*(Assumptions!$C$16+Assumptions!$G$44)),0)</f>
        <v>0</v>
      </c>
      <c r="K29" s="13" t="n">
        <f aca="false">IF(K$25=$B$22,-($B$19*INDEX(Engine!$C$23:$Y$23,1,(Assumptions!$C$4-1)*6+2)+Assumptions!$C$17+$B$19*(Assumptions!$C$16+Assumptions!$G$44)),0)</f>
        <v>0</v>
      </c>
      <c r="L29" s="13" t="n">
        <f aca="false">IF(L$25=$B$22,-($B$19*INDEX(Engine!$C$23:$Y$23,1,(Assumptions!$C$4-1)*6+2)+Assumptions!$C$17+$B$19*(Assumptions!$C$16+Assumptions!$G$44)),0)</f>
        <v>0</v>
      </c>
      <c r="M29" s="13" t="n">
        <f aca="false">IF(M$25=$B$22,-($B$19*INDEX(Engine!$C$23:$Y$23,1,(Assumptions!$C$4-1)*6+2)+Assumptions!$C$17+$B$19*(Assumptions!$C$16+Assumptions!$G$44)),0)</f>
        <v>0</v>
      </c>
      <c r="N29" s="13" t="n">
        <f aca="false">IF(N$25=$B$22,-($B$19*INDEX(Engine!$C$23:$Y$23,1,(Assumptions!$C$4-1)*6+2)+Assumptions!$C$17+$B$19*(Assumptions!$C$16+Assumptions!$G$44)),0)</f>
        <v>0</v>
      </c>
      <c r="O29" s="13" t="n">
        <f aca="false">IF(O$25=$B$22,-($B$19*INDEX(Engine!$C$23:$Y$23,1,(Assumptions!$C$4-1)*6+2)+Assumptions!$C$17+$B$19*(Assumptions!$C$16+Assumptions!$G$44)),0)</f>
        <v>0</v>
      </c>
      <c r="P29" s="13" t="n">
        <f aca="false">IF(P$25=$B$22,-($B$19*INDEX(Engine!$C$23:$Y$23,1,(Assumptions!$C$4-1)*6+2)+Assumptions!$C$17+$B$19*(Assumptions!$C$16+Assumptions!$G$44)),0)</f>
        <v>0</v>
      </c>
      <c r="Q29" s="13" t="n">
        <f aca="false">IF(Q$25=$B$22,-($B$19*INDEX(Engine!$C$23:$Y$23,1,(Assumptions!$C$4-1)*6+2)+Assumptions!$C$17+$B$19*(Assumptions!$C$16+Assumptions!$G$44)),0)</f>
        <v>0</v>
      </c>
      <c r="R29" s="13" t="n">
        <f aca="false">IF(R$25=$B$22,-($B$19*INDEX(Engine!$C$23:$Y$23,1,(Assumptions!$C$4-1)*6+2)+Assumptions!$C$17+$B$19*(Assumptions!$C$16+Assumptions!$G$44)),0)</f>
        <v>0</v>
      </c>
      <c r="S29" s="13" t="n">
        <f aca="false">IF(S$25=$B$22,-($B$19*INDEX(Engine!$C$23:$Y$23,1,(Assumptions!$C$4-1)*6+2)+Assumptions!$C$17+$B$19*(Assumptions!$C$16+Assumptions!$G$44)),0)</f>
        <v>0</v>
      </c>
      <c r="T29" s="13" t="n">
        <f aca="false">IF(T$25=$B$22,-($B$19*INDEX(Engine!$C$23:$Y$23,1,(Assumptions!$C$4-1)*6+2)+Assumptions!$C$17+$B$19*(Assumptions!$C$16+Assumptions!$G$44)),0)</f>
        <v>0</v>
      </c>
      <c r="U29" s="13" t="n">
        <f aca="false">IF(U$25=$B$22,-($B$19*INDEX(Engine!$C$23:$Y$23,1,(Assumptions!$C$4-1)*6+2)+Assumptions!$C$17+$B$19*(Assumptions!$C$16+Assumptions!$G$44)),0)</f>
        <v>0</v>
      </c>
      <c r="V29" s="13" t="n">
        <f aca="false">IF(V$25=$B$22,-($B$19*INDEX(Engine!$C$23:$Y$23,1,(Assumptions!$C$4-1)*6+2)+Assumptions!$C$17+$B$19*(Assumptions!$C$16+Assumptions!$G$44)),0)</f>
        <v>0</v>
      </c>
      <c r="W29" s="13" t="n">
        <f aca="false">IF(W$25=$B$22,-($B$19*INDEX(Engine!$C$23:$Y$23,1,(Assumptions!$C$4-1)*6+2)+Assumptions!$C$17+$B$19*(Assumptions!$C$16+Assumptions!$G$44)),0)</f>
        <v>0</v>
      </c>
      <c r="X29" s="13" t="n">
        <f aca="false">IF(X$25=$B$22,-($B$19*INDEX(Engine!$C$23:$Y$23,1,(Assumptions!$C$4-1)*6+2)+Assumptions!$C$17+$B$19*(Assumptions!$C$16+Assumptions!$G$44)),0)</f>
        <v>0</v>
      </c>
      <c r="Y29" s="13" t="n">
        <f aca="false">IF(Y$25=$B$22,-($B$19*INDEX(Engine!$C$23:$Y$23,1,(Assumptions!$C$4-1)*6+2)+Assumptions!$C$17+$B$19*(Assumptions!$C$16+Assumptions!$G$44)),0)</f>
        <v>0</v>
      </c>
      <c r="Z29" s="13" t="n">
        <f aca="false">IF(Z$25=$B$22,-($B$19*INDEX(Engine!$C$23:$Y$23,1,(Assumptions!$C$4-1)*6+2)+Assumptions!$C$17+$B$19*(Assumptions!$C$16+Assumptions!$G$44)),0)</f>
        <v>0</v>
      </c>
    </row>
    <row r="30" customFormat="false" ht="15" hidden="false" customHeight="false" outlineLevel="0" collapsed="false">
      <c r="A30" s="0" t="s">
        <v>281</v>
      </c>
      <c r="B30" s="13" t="n">
        <f aca="false">IF(Assumptions!$C$26=1,IF(B$25=$B$22,-$B$19*INDEX(Engine!$C$25:$Y$25,1,(Assumptions!$C$4-1)*6+2),0),IF(AND(B$25&gt;$B$22,B$25&lt;=$B$22+$B$20),-$B$19/$B$20*INDEX(Engine!$C$25:$Y$25,1,(Assumptions!$C$4-1)*6+2),0))</f>
        <v>0</v>
      </c>
      <c r="C30" s="13" t="n">
        <f aca="false">IF(Assumptions!$C$26=1,IF(C$25=$B$22,-$B$19*INDEX(Engine!$C$25:$Y$25,1,(Assumptions!$C$4-1)*6+2),0),IF(AND(C$25&gt;$B$22,C$25&lt;=$B$22+$B$20),-$B$19/$B$20*INDEX(Engine!$C$25:$Y$25,1,(Assumptions!$C$4-1)*6+2),0))</f>
        <v>0</v>
      </c>
      <c r="D30" s="13" t="n">
        <f aca="false">IF(Assumptions!$C$26=1,IF(D$25=$B$22,-$B$19*INDEX(Engine!$C$25:$Y$25,1,(Assumptions!$C$4-1)*6+2),0),IF(AND(D$25&gt;$B$22,D$25&lt;=$B$22+$B$20),-$B$19/$B$20*INDEX(Engine!$C$25:$Y$25,1,(Assumptions!$C$4-1)*6+2),0))</f>
        <v>0</v>
      </c>
      <c r="E30" s="13" t="n">
        <f aca="false">IF(Assumptions!$C$26=1,IF(E$25=$B$22,-$B$19*INDEX(Engine!$C$25:$Y$25,1,(Assumptions!$C$4-1)*6+2),0),IF(AND(E$25&gt;$B$22,E$25&lt;=$B$22+$B$20),-$B$19/$B$20*INDEX(Engine!$C$25:$Y$25,1,(Assumptions!$C$4-1)*6+2),0))</f>
        <v>0</v>
      </c>
      <c r="F30" s="13" t="n">
        <f aca="false">IF(Assumptions!$C$26=1,IF(F$25=$B$22,-$B$19*INDEX(Engine!$C$25:$Y$25,1,(Assumptions!$C$4-1)*6+2),0),IF(AND(F$25&gt;$B$22,F$25&lt;=$B$22+$B$20),-$B$19/$B$20*INDEX(Engine!$C$25:$Y$25,1,(Assumptions!$C$4-1)*6+2),0))</f>
        <v>0</v>
      </c>
      <c r="G30" s="13" t="n">
        <f aca="false">IF(Assumptions!$C$26=1,IF(G$25=$B$22,-$B$19*INDEX(Engine!$C$25:$Y$25,1,(Assumptions!$C$4-1)*6+2),0),IF(AND(G$25&gt;$B$22,G$25&lt;=$B$22+$B$20),-$B$19/$B$20*INDEX(Engine!$C$25:$Y$25,1,(Assumptions!$C$4-1)*6+2),0))</f>
        <v>-11376</v>
      </c>
      <c r="H30" s="13" t="n">
        <f aca="false">IF(Assumptions!$C$26=1,IF(H$25=$B$22,-$B$19*INDEX(Engine!$C$25:$Y$25,1,(Assumptions!$C$4-1)*6+2),0),IF(AND(H$25&gt;$B$22,H$25&lt;=$B$22+$B$20),-$B$19/$B$20*INDEX(Engine!$C$25:$Y$25,1,(Assumptions!$C$4-1)*6+2),0))</f>
        <v>0</v>
      </c>
      <c r="I30" s="13" t="n">
        <f aca="false">IF(Assumptions!$C$26=1,IF(I$25=$B$22,-$B$19*INDEX(Engine!$C$25:$Y$25,1,(Assumptions!$C$4-1)*6+2),0),IF(AND(I$25&gt;$B$22,I$25&lt;=$B$22+$B$20),-$B$19/$B$20*INDEX(Engine!$C$25:$Y$25,1,(Assumptions!$C$4-1)*6+2),0))</f>
        <v>0</v>
      </c>
      <c r="J30" s="13" t="n">
        <f aca="false">IF(Assumptions!$C$26=1,IF(J$25=$B$22,-$B$19*INDEX(Engine!$C$25:$Y$25,1,(Assumptions!$C$4-1)*6+2),0),IF(AND(J$25&gt;$B$22,J$25&lt;=$B$22+$B$20),-$B$19/$B$20*INDEX(Engine!$C$25:$Y$25,1,(Assumptions!$C$4-1)*6+2),0))</f>
        <v>0</v>
      </c>
      <c r="K30" s="13" t="n">
        <f aca="false">IF(Assumptions!$C$26=1,IF(K$25=$B$22,-$B$19*INDEX(Engine!$C$25:$Y$25,1,(Assumptions!$C$4-1)*6+2),0),IF(AND(K$25&gt;$B$22,K$25&lt;=$B$22+$B$20),-$B$19/$B$20*INDEX(Engine!$C$25:$Y$25,1,(Assumptions!$C$4-1)*6+2),0))</f>
        <v>0</v>
      </c>
      <c r="L30" s="13" t="n">
        <f aca="false">IF(Assumptions!$C$26=1,IF(L$25=$B$22,-$B$19*INDEX(Engine!$C$25:$Y$25,1,(Assumptions!$C$4-1)*6+2),0),IF(AND(L$25&gt;$B$22,L$25&lt;=$B$22+$B$20),-$B$19/$B$20*INDEX(Engine!$C$25:$Y$25,1,(Assumptions!$C$4-1)*6+2),0))</f>
        <v>0</v>
      </c>
      <c r="M30" s="13" t="n">
        <f aca="false">IF(Assumptions!$C$26=1,IF(M$25=$B$22,-$B$19*INDEX(Engine!$C$25:$Y$25,1,(Assumptions!$C$4-1)*6+2),0),IF(AND(M$25&gt;$B$22,M$25&lt;=$B$22+$B$20),-$B$19/$B$20*INDEX(Engine!$C$25:$Y$25,1,(Assumptions!$C$4-1)*6+2),0))</f>
        <v>0</v>
      </c>
      <c r="N30" s="13" t="n">
        <f aca="false">IF(Assumptions!$C$26=1,IF(N$25=$B$22,-$B$19*INDEX(Engine!$C$25:$Y$25,1,(Assumptions!$C$4-1)*6+2),0),IF(AND(N$25&gt;$B$22,N$25&lt;=$B$22+$B$20),-$B$19/$B$20*INDEX(Engine!$C$25:$Y$25,1,(Assumptions!$C$4-1)*6+2),0))</f>
        <v>0</v>
      </c>
      <c r="O30" s="13" t="n">
        <f aca="false">IF(Assumptions!$C$26=1,IF(O$25=$B$22,-$B$19*INDEX(Engine!$C$25:$Y$25,1,(Assumptions!$C$4-1)*6+2),0),IF(AND(O$25&gt;$B$22,O$25&lt;=$B$22+$B$20),-$B$19/$B$20*INDEX(Engine!$C$25:$Y$25,1,(Assumptions!$C$4-1)*6+2),0))</f>
        <v>0</v>
      </c>
      <c r="P30" s="13" t="n">
        <f aca="false">IF(Assumptions!$C$26=1,IF(P$25=$B$22,-$B$19*INDEX(Engine!$C$25:$Y$25,1,(Assumptions!$C$4-1)*6+2),0),IF(AND(P$25&gt;$B$22,P$25&lt;=$B$22+$B$20),-$B$19/$B$20*INDEX(Engine!$C$25:$Y$25,1,(Assumptions!$C$4-1)*6+2),0))</f>
        <v>0</v>
      </c>
      <c r="Q30" s="13" t="n">
        <f aca="false">IF(Assumptions!$C$26=1,IF(Q$25=$B$22,-$B$19*INDEX(Engine!$C$25:$Y$25,1,(Assumptions!$C$4-1)*6+2),0),IF(AND(Q$25&gt;$B$22,Q$25&lt;=$B$22+$B$20),-$B$19/$B$20*INDEX(Engine!$C$25:$Y$25,1,(Assumptions!$C$4-1)*6+2),0))</f>
        <v>0</v>
      </c>
      <c r="R30" s="13" t="n">
        <f aca="false">IF(Assumptions!$C$26=1,IF(R$25=$B$22,-$B$19*INDEX(Engine!$C$25:$Y$25,1,(Assumptions!$C$4-1)*6+2),0),IF(AND(R$25&gt;$B$22,R$25&lt;=$B$22+$B$20),-$B$19/$B$20*INDEX(Engine!$C$25:$Y$25,1,(Assumptions!$C$4-1)*6+2),0))</f>
        <v>0</v>
      </c>
      <c r="S30" s="13" t="n">
        <f aca="false">IF(Assumptions!$C$26=1,IF(S$25=$B$22,-$B$19*INDEX(Engine!$C$25:$Y$25,1,(Assumptions!$C$4-1)*6+2),0),IF(AND(S$25&gt;$B$22,S$25&lt;=$B$22+$B$20),-$B$19/$B$20*INDEX(Engine!$C$25:$Y$25,1,(Assumptions!$C$4-1)*6+2),0))</f>
        <v>0</v>
      </c>
      <c r="T30" s="13" t="n">
        <f aca="false">IF(Assumptions!$C$26=1,IF(T$25=$B$22,-$B$19*INDEX(Engine!$C$25:$Y$25,1,(Assumptions!$C$4-1)*6+2),0),IF(AND(T$25&gt;$B$22,T$25&lt;=$B$22+$B$20),-$B$19/$B$20*INDEX(Engine!$C$25:$Y$25,1,(Assumptions!$C$4-1)*6+2),0))</f>
        <v>0</v>
      </c>
      <c r="U30" s="13" t="n">
        <f aca="false">IF(Assumptions!$C$26=1,IF(U$25=$B$22,-$B$19*INDEX(Engine!$C$25:$Y$25,1,(Assumptions!$C$4-1)*6+2),0),IF(AND(U$25&gt;$B$22,U$25&lt;=$B$22+$B$20),-$B$19/$B$20*INDEX(Engine!$C$25:$Y$25,1,(Assumptions!$C$4-1)*6+2),0))</f>
        <v>0</v>
      </c>
      <c r="V30" s="13" t="n">
        <f aca="false">IF(Assumptions!$C$26=1,IF(V$25=$B$22,-$B$19*INDEX(Engine!$C$25:$Y$25,1,(Assumptions!$C$4-1)*6+2),0),IF(AND(V$25&gt;$B$22,V$25&lt;=$B$22+$B$20),-$B$19/$B$20*INDEX(Engine!$C$25:$Y$25,1,(Assumptions!$C$4-1)*6+2),0))</f>
        <v>0</v>
      </c>
      <c r="W30" s="13" t="n">
        <f aca="false">IF(Assumptions!$C$26=1,IF(W$25=$B$22,-$B$19*INDEX(Engine!$C$25:$Y$25,1,(Assumptions!$C$4-1)*6+2),0),IF(AND(W$25&gt;$B$22,W$25&lt;=$B$22+$B$20),-$B$19/$B$20*INDEX(Engine!$C$25:$Y$25,1,(Assumptions!$C$4-1)*6+2),0))</f>
        <v>0</v>
      </c>
      <c r="X30" s="13" t="n">
        <f aca="false">IF(Assumptions!$C$26=1,IF(X$25=$B$22,-$B$19*INDEX(Engine!$C$25:$Y$25,1,(Assumptions!$C$4-1)*6+2),0),IF(AND(X$25&gt;$B$22,X$25&lt;=$B$22+$B$20),-$B$19/$B$20*INDEX(Engine!$C$25:$Y$25,1,(Assumptions!$C$4-1)*6+2),0))</f>
        <v>0</v>
      </c>
      <c r="Y30" s="13" t="n">
        <f aca="false">IF(Assumptions!$C$26=1,IF(Y$25=$B$22,-$B$19*INDEX(Engine!$C$25:$Y$25,1,(Assumptions!$C$4-1)*6+2),0),IF(AND(Y$25&gt;$B$22,Y$25&lt;=$B$22+$B$20),-$B$19/$B$20*INDEX(Engine!$C$25:$Y$25,1,(Assumptions!$C$4-1)*6+2),0))</f>
        <v>0</v>
      </c>
      <c r="Z30" s="13" t="n">
        <f aca="false">IF(Assumptions!$C$26=1,IF(Z$25=$B$22,-$B$19*INDEX(Engine!$C$25:$Y$25,1,(Assumptions!$C$4-1)*6+2),0),IF(AND(Z$25&gt;$B$22,Z$25&lt;=$B$22+$B$20),-$B$19/$B$20*INDEX(Engine!$C$25:$Y$25,1,(Assumptions!$C$4-1)*6+2),0))</f>
        <v>0</v>
      </c>
    </row>
    <row r="31" customFormat="false" ht="15" hidden="false" customHeight="false" outlineLevel="0" collapsed="false">
      <c r="A31" s="0" t="s">
        <v>282</v>
      </c>
      <c r="B31" s="13" t="n">
        <f aca="false">IF(B$25=$B$22,-$B$19*(INDEX(Engine!$C$22:$Y$22,1,(Assumptions!$C$4-1)*6+2)+INDEX(Engine!$C$23:$Y$23,1,(Assumptions!$C$4-1)*6+2)+Assumptions!$C$26*INDEX(Engine!$C$25:$Y$25,1,(Assumptions!$C$4-1)*6+2))*Assumptions!$C$10,0)</f>
        <v>0</v>
      </c>
      <c r="C31" s="13" t="n">
        <f aca="false">IF(C$25=$B$22,-$B$19*(INDEX(Engine!$C$22:$Y$22,1,(Assumptions!$C$4-1)*6+2)+INDEX(Engine!$C$23:$Y$23,1,(Assumptions!$C$4-1)*6+2)+Assumptions!$C$26*INDEX(Engine!$C$25:$Y$25,1,(Assumptions!$C$4-1)*6+2))*Assumptions!$C$10,0)</f>
        <v>0</v>
      </c>
      <c r="D31" s="13" t="n">
        <f aca="false">IF(D$25=$B$22,-$B$19*(INDEX(Engine!$C$22:$Y$22,1,(Assumptions!$C$4-1)*6+2)+INDEX(Engine!$C$23:$Y$23,1,(Assumptions!$C$4-1)*6+2)+Assumptions!$C$26*INDEX(Engine!$C$25:$Y$25,1,(Assumptions!$C$4-1)*6+2))*Assumptions!$C$10,0)</f>
        <v>0</v>
      </c>
      <c r="E31" s="13" t="n">
        <f aca="false">IF(E$25=$B$22,-$B$19*(INDEX(Engine!$C$22:$Y$22,1,(Assumptions!$C$4-1)*6+2)+INDEX(Engine!$C$23:$Y$23,1,(Assumptions!$C$4-1)*6+2)+Assumptions!$C$26*INDEX(Engine!$C$25:$Y$25,1,(Assumptions!$C$4-1)*6+2))*Assumptions!$C$10,0)</f>
        <v>0</v>
      </c>
      <c r="F31" s="13" t="n">
        <f aca="false">IF(F$25=$B$22,-$B$19*(INDEX(Engine!$C$22:$Y$22,1,(Assumptions!$C$4-1)*6+2)+INDEX(Engine!$C$23:$Y$23,1,(Assumptions!$C$4-1)*6+2)+Assumptions!$C$26*INDEX(Engine!$C$25:$Y$25,1,(Assumptions!$C$4-1)*6+2))*Assumptions!$C$10,0)</f>
        <v>0</v>
      </c>
      <c r="G31" s="13" t="n">
        <f aca="false">IF(G$25=$B$22,-$B$19*(INDEX(Engine!$C$22:$Y$22,1,(Assumptions!$C$4-1)*6+2)+INDEX(Engine!$C$23:$Y$23,1,(Assumptions!$C$4-1)*6+2)+Assumptions!$C$26*INDEX(Engine!$C$25:$Y$25,1,(Assumptions!$C$4-1)*6+2))*Assumptions!$C$10,0)</f>
        <v>-8505.76709347826</v>
      </c>
      <c r="H31" s="13" t="n">
        <f aca="false">IF(H$25=$B$22,-$B$19*(INDEX(Engine!$C$22:$Y$22,1,(Assumptions!$C$4-1)*6+2)+INDEX(Engine!$C$23:$Y$23,1,(Assumptions!$C$4-1)*6+2)+Assumptions!$C$26*INDEX(Engine!$C$25:$Y$25,1,(Assumptions!$C$4-1)*6+2))*Assumptions!$C$10,0)</f>
        <v>0</v>
      </c>
      <c r="I31" s="13" t="n">
        <f aca="false">IF(I$25=$B$22,-$B$19*(INDEX(Engine!$C$22:$Y$22,1,(Assumptions!$C$4-1)*6+2)+INDEX(Engine!$C$23:$Y$23,1,(Assumptions!$C$4-1)*6+2)+Assumptions!$C$26*INDEX(Engine!$C$25:$Y$25,1,(Assumptions!$C$4-1)*6+2))*Assumptions!$C$10,0)</f>
        <v>0</v>
      </c>
      <c r="J31" s="13" t="n">
        <f aca="false">IF(J$25=$B$22,-$B$19*(INDEX(Engine!$C$22:$Y$22,1,(Assumptions!$C$4-1)*6+2)+INDEX(Engine!$C$23:$Y$23,1,(Assumptions!$C$4-1)*6+2)+Assumptions!$C$26*INDEX(Engine!$C$25:$Y$25,1,(Assumptions!$C$4-1)*6+2))*Assumptions!$C$10,0)</f>
        <v>0</v>
      </c>
      <c r="K31" s="13" t="n">
        <f aca="false">IF(K$25=$B$22,-$B$19*(INDEX(Engine!$C$22:$Y$22,1,(Assumptions!$C$4-1)*6+2)+INDEX(Engine!$C$23:$Y$23,1,(Assumptions!$C$4-1)*6+2)+Assumptions!$C$26*INDEX(Engine!$C$25:$Y$25,1,(Assumptions!$C$4-1)*6+2))*Assumptions!$C$10,0)</f>
        <v>0</v>
      </c>
      <c r="L31" s="13" t="n">
        <f aca="false">IF(L$25=$B$22,-$B$19*(INDEX(Engine!$C$22:$Y$22,1,(Assumptions!$C$4-1)*6+2)+INDEX(Engine!$C$23:$Y$23,1,(Assumptions!$C$4-1)*6+2)+Assumptions!$C$26*INDEX(Engine!$C$25:$Y$25,1,(Assumptions!$C$4-1)*6+2))*Assumptions!$C$10,0)</f>
        <v>0</v>
      </c>
      <c r="M31" s="13" t="n">
        <f aca="false">IF(M$25=$B$22,-$B$19*(INDEX(Engine!$C$22:$Y$22,1,(Assumptions!$C$4-1)*6+2)+INDEX(Engine!$C$23:$Y$23,1,(Assumptions!$C$4-1)*6+2)+Assumptions!$C$26*INDEX(Engine!$C$25:$Y$25,1,(Assumptions!$C$4-1)*6+2))*Assumptions!$C$10,0)</f>
        <v>0</v>
      </c>
      <c r="N31" s="13" t="n">
        <f aca="false">IF(N$25=$B$22,-$B$19*(INDEX(Engine!$C$22:$Y$22,1,(Assumptions!$C$4-1)*6+2)+INDEX(Engine!$C$23:$Y$23,1,(Assumptions!$C$4-1)*6+2)+Assumptions!$C$26*INDEX(Engine!$C$25:$Y$25,1,(Assumptions!$C$4-1)*6+2))*Assumptions!$C$10,0)</f>
        <v>0</v>
      </c>
      <c r="O31" s="13" t="n">
        <f aca="false">IF(O$25=$B$22,-$B$19*(INDEX(Engine!$C$22:$Y$22,1,(Assumptions!$C$4-1)*6+2)+INDEX(Engine!$C$23:$Y$23,1,(Assumptions!$C$4-1)*6+2)+Assumptions!$C$26*INDEX(Engine!$C$25:$Y$25,1,(Assumptions!$C$4-1)*6+2))*Assumptions!$C$10,0)</f>
        <v>0</v>
      </c>
      <c r="P31" s="13" t="n">
        <f aca="false">IF(P$25=$B$22,-$B$19*(INDEX(Engine!$C$22:$Y$22,1,(Assumptions!$C$4-1)*6+2)+INDEX(Engine!$C$23:$Y$23,1,(Assumptions!$C$4-1)*6+2)+Assumptions!$C$26*INDEX(Engine!$C$25:$Y$25,1,(Assumptions!$C$4-1)*6+2))*Assumptions!$C$10,0)</f>
        <v>0</v>
      </c>
      <c r="Q31" s="13" t="n">
        <f aca="false">IF(Q$25=$B$22,-$B$19*(INDEX(Engine!$C$22:$Y$22,1,(Assumptions!$C$4-1)*6+2)+INDEX(Engine!$C$23:$Y$23,1,(Assumptions!$C$4-1)*6+2)+Assumptions!$C$26*INDEX(Engine!$C$25:$Y$25,1,(Assumptions!$C$4-1)*6+2))*Assumptions!$C$10,0)</f>
        <v>0</v>
      </c>
      <c r="R31" s="13" t="n">
        <f aca="false">IF(R$25=$B$22,-$B$19*(INDEX(Engine!$C$22:$Y$22,1,(Assumptions!$C$4-1)*6+2)+INDEX(Engine!$C$23:$Y$23,1,(Assumptions!$C$4-1)*6+2)+Assumptions!$C$26*INDEX(Engine!$C$25:$Y$25,1,(Assumptions!$C$4-1)*6+2))*Assumptions!$C$10,0)</f>
        <v>0</v>
      </c>
      <c r="S31" s="13" t="n">
        <f aca="false">IF(S$25=$B$22,-$B$19*(INDEX(Engine!$C$22:$Y$22,1,(Assumptions!$C$4-1)*6+2)+INDEX(Engine!$C$23:$Y$23,1,(Assumptions!$C$4-1)*6+2)+Assumptions!$C$26*INDEX(Engine!$C$25:$Y$25,1,(Assumptions!$C$4-1)*6+2))*Assumptions!$C$10,0)</f>
        <v>0</v>
      </c>
      <c r="T31" s="13" t="n">
        <f aca="false">IF(T$25=$B$22,-$B$19*(INDEX(Engine!$C$22:$Y$22,1,(Assumptions!$C$4-1)*6+2)+INDEX(Engine!$C$23:$Y$23,1,(Assumptions!$C$4-1)*6+2)+Assumptions!$C$26*INDEX(Engine!$C$25:$Y$25,1,(Assumptions!$C$4-1)*6+2))*Assumptions!$C$10,0)</f>
        <v>0</v>
      </c>
      <c r="U31" s="13" t="n">
        <f aca="false">IF(U$25=$B$22,-$B$19*(INDEX(Engine!$C$22:$Y$22,1,(Assumptions!$C$4-1)*6+2)+INDEX(Engine!$C$23:$Y$23,1,(Assumptions!$C$4-1)*6+2)+Assumptions!$C$26*INDEX(Engine!$C$25:$Y$25,1,(Assumptions!$C$4-1)*6+2))*Assumptions!$C$10,0)</f>
        <v>0</v>
      </c>
      <c r="V31" s="13" t="n">
        <f aca="false">IF(V$25=$B$22,-$B$19*(INDEX(Engine!$C$22:$Y$22,1,(Assumptions!$C$4-1)*6+2)+INDEX(Engine!$C$23:$Y$23,1,(Assumptions!$C$4-1)*6+2)+Assumptions!$C$26*INDEX(Engine!$C$25:$Y$25,1,(Assumptions!$C$4-1)*6+2))*Assumptions!$C$10,0)</f>
        <v>0</v>
      </c>
      <c r="W31" s="13" t="n">
        <f aca="false">IF(W$25=$B$22,-$B$19*(INDEX(Engine!$C$22:$Y$22,1,(Assumptions!$C$4-1)*6+2)+INDEX(Engine!$C$23:$Y$23,1,(Assumptions!$C$4-1)*6+2)+Assumptions!$C$26*INDEX(Engine!$C$25:$Y$25,1,(Assumptions!$C$4-1)*6+2))*Assumptions!$C$10,0)</f>
        <v>0</v>
      </c>
      <c r="X31" s="13" t="n">
        <f aca="false">IF(X$25=$B$22,-$B$19*(INDEX(Engine!$C$22:$Y$22,1,(Assumptions!$C$4-1)*6+2)+INDEX(Engine!$C$23:$Y$23,1,(Assumptions!$C$4-1)*6+2)+Assumptions!$C$26*INDEX(Engine!$C$25:$Y$25,1,(Assumptions!$C$4-1)*6+2))*Assumptions!$C$10,0)</f>
        <v>0</v>
      </c>
      <c r="Y31" s="13" t="n">
        <f aca="false">IF(Y$25=$B$22,-$B$19*(INDEX(Engine!$C$22:$Y$22,1,(Assumptions!$C$4-1)*6+2)+INDEX(Engine!$C$23:$Y$23,1,(Assumptions!$C$4-1)*6+2)+Assumptions!$C$26*INDEX(Engine!$C$25:$Y$25,1,(Assumptions!$C$4-1)*6+2))*Assumptions!$C$10,0)</f>
        <v>0</v>
      </c>
      <c r="Z31" s="13" t="n">
        <f aca="false">IF(Z$25=$B$22,-$B$19*(INDEX(Engine!$C$22:$Y$22,1,(Assumptions!$C$4-1)*6+2)+INDEX(Engine!$C$23:$Y$23,1,(Assumptions!$C$4-1)*6+2)+Assumptions!$C$26*INDEX(Engine!$C$25:$Y$25,1,(Assumptions!$C$4-1)*6+2))*Assumptions!$C$10,0)</f>
        <v>0</v>
      </c>
    </row>
    <row r="32" customFormat="false" ht="15" hidden="false" customHeight="false" outlineLevel="0" collapsed="false">
      <c r="A32" s="0" t="s">
        <v>283</v>
      </c>
      <c r="B32" s="13" t="n">
        <f aca="false">IF(B$25=$B$22+3,$B$19*(INDEX(Engine!$C$22:$Y$22,1,(Assumptions!$C$4-1)*6+2)+INDEX(Engine!$C$23:$Y$23,1,(Assumptions!$C$4-1)*6+2)+Assumptions!$C$26*INDEX(Engine!$C$25:$Y$25,1,(Assumptions!$C$4-1)*6+2))*Assumptions!$C$10,0)</f>
        <v>0</v>
      </c>
      <c r="C32" s="13" t="n">
        <f aca="false">IF(C$25=$B$22+3,$B$19*(INDEX(Engine!$C$22:$Y$22,1,(Assumptions!$C$4-1)*6+2)+INDEX(Engine!$C$23:$Y$23,1,(Assumptions!$C$4-1)*6+2)+Assumptions!$C$26*INDEX(Engine!$C$25:$Y$25,1,(Assumptions!$C$4-1)*6+2))*Assumptions!$C$10,0)</f>
        <v>0</v>
      </c>
      <c r="D32" s="13" t="n">
        <f aca="false">IF(D$25=$B$22+3,$B$19*(INDEX(Engine!$C$22:$Y$22,1,(Assumptions!$C$4-1)*6+2)+INDEX(Engine!$C$23:$Y$23,1,(Assumptions!$C$4-1)*6+2)+Assumptions!$C$26*INDEX(Engine!$C$25:$Y$25,1,(Assumptions!$C$4-1)*6+2))*Assumptions!$C$10,0)</f>
        <v>0</v>
      </c>
      <c r="E32" s="13" t="n">
        <f aca="false">IF(E$25=$B$22+3,$B$19*(INDEX(Engine!$C$22:$Y$22,1,(Assumptions!$C$4-1)*6+2)+INDEX(Engine!$C$23:$Y$23,1,(Assumptions!$C$4-1)*6+2)+Assumptions!$C$26*INDEX(Engine!$C$25:$Y$25,1,(Assumptions!$C$4-1)*6+2))*Assumptions!$C$10,0)</f>
        <v>0</v>
      </c>
      <c r="F32" s="13" t="n">
        <f aca="false">IF(F$25=$B$22+3,$B$19*(INDEX(Engine!$C$22:$Y$22,1,(Assumptions!$C$4-1)*6+2)+INDEX(Engine!$C$23:$Y$23,1,(Assumptions!$C$4-1)*6+2)+Assumptions!$C$26*INDEX(Engine!$C$25:$Y$25,1,(Assumptions!$C$4-1)*6+2))*Assumptions!$C$10,0)</f>
        <v>0</v>
      </c>
      <c r="G32" s="13" t="n">
        <f aca="false">IF(G$25=$B$22+3,$B$19*(INDEX(Engine!$C$22:$Y$22,1,(Assumptions!$C$4-1)*6+2)+INDEX(Engine!$C$23:$Y$23,1,(Assumptions!$C$4-1)*6+2)+Assumptions!$C$26*INDEX(Engine!$C$25:$Y$25,1,(Assumptions!$C$4-1)*6+2))*Assumptions!$C$10,0)</f>
        <v>0</v>
      </c>
      <c r="H32" s="13" t="n">
        <f aca="false">IF(H$25=$B$22+3,$B$19*(INDEX(Engine!$C$22:$Y$22,1,(Assumptions!$C$4-1)*6+2)+INDEX(Engine!$C$23:$Y$23,1,(Assumptions!$C$4-1)*6+2)+Assumptions!$C$26*INDEX(Engine!$C$25:$Y$25,1,(Assumptions!$C$4-1)*6+2))*Assumptions!$C$10,0)</f>
        <v>0</v>
      </c>
      <c r="I32" s="13" t="n">
        <f aca="false">IF(I$25=$B$22+3,$B$19*(INDEX(Engine!$C$22:$Y$22,1,(Assumptions!$C$4-1)*6+2)+INDEX(Engine!$C$23:$Y$23,1,(Assumptions!$C$4-1)*6+2)+Assumptions!$C$26*INDEX(Engine!$C$25:$Y$25,1,(Assumptions!$C$4-1)*6+2))*Assumptions!$C$10,0)</f>
        <v>0</v>
      </c>
      <c r="J32" s="13" t="n">
        <f aca="false">IF(J$25=$B$22+3,$B$19*(INDEX(Engine!$C$22:$Y$22,1,(Assumptions!$C$4-1)*6+2)+INDEX(Engine!$C$23:$Y$23,1,(Assumptions!$C$4-1)*6+2)+Assumptions!$C$26*INDEX(Engine!$C$25:$Y$25,1,(Assumptions!$C$4-1)*6+2))*Assumptions!$C$10,0)</f>
        <v>8505.76709347826</v>
      </c>
      <c r="K32" s="13" t="n">
        <f aca="false">IF(K$25=$B$22+3,$B$19*(INDEX(Engine!$C$22:$Y$22,1,(Assumptions!$C$4-1)*6+2)+INDEX(Engine!$C$23:$Y$23,1,(Assumptions!$C$4-1)*6+2)+Assumptions!$C$26*INDEX(Engine!$C$25:$Y$25,1,(Assumptions!$C$4-1)*6+2))*Assumptions!$C$10,0)</f>
        <v>0</v>
      </c>
      <c r="L32" s="13" t="n">
        <f aca="false">IF(L$25=$B$22+3,$B$19*(INDEX(Engine!$C$22:$Y$22,1,(Assumptions!$C$4-1)*6+2)+INDEX(Engine!$C$23:$Y$23,1,(Assumptions!$C$4-1)*6+2)+Assumptions!$C$26*INDEX(Engine!$C$25:$Y$25,1,(Assumptions!$C$4-1)*6+2))*Assumptions!$C$10,0)</f>
        <v>0</v>
      </c>
      <c r="M32" s="13" t="n">
        <f aca="false">IF(M$25=$B$22+3,$B$19*(INDEX(Engine!$C$22:$Y$22,1,(Assumptions!$C$4-1)*6+2)+INDEX(Engine!$C$23:$Y$23,1,(Assumptions!$C$4-1)*6+2)+Assumptions!$C$26*INDEX(Engine!$C$25:$Y$25,1,(Assumptions!$C$4-1)*6+2))*Assumptions!$C$10,0)</f>
        <v>0</v>
      </c>
      <c r="N32" s="13" t="n">
        <f aca="false">IF(N$25=$B$22+3,$B$19*(INDEX(Engine!$C$22:$Y$22,1,(Assumptions!$C$4-1)*6+2)+INDEX(Engine!$C$23:$Y$23,1,(Assumptions!$C$4-1)*6+2)+Assumptions!$C$26*INDEX(Engine!$C$25:$Y$25,1,(Assumptions!$C$4-1)*6+2))*Assumptions!$C$10,0)</f>
        <v>0</v>
      </c>
      <c r="O32" s="13" t="n">
        <f aca="false">IF(O$25=$B$22+3,$B$19*(INDEX(Engine!$C$22:$Y$22,1,(Assumptions!$C$4-1)*6+2)+INDEX(Engine!$C$23:$Y$23,1,(Assumptions!$C$4-1)*6+2)+Assumptions!$C$26*INDEX(Engine!$C$25:$Y$25,1,(Assumptions!$C$4-1)*6+2))*Assumptions!$C$10,0)</f>
        <v>0</v>
      </c>
      <c r="P32" s="13" t="n">
        <f aca="false">IF(P$25=$B$22+3,$B$19*(INDEX(Engine!$C$22:$Y$22,1,(Assumptions!$C$4-1)*6+2)+INDEX(Engine!$C$23:$Y$23,1,(Assumptions!$C$4-1)*6+2)+Assumptions!$C$26*INDEX(Engine!$C$25:$Y$25,1,(Assumptions!$C$4-1)*6+2))*Assumptions!$C$10,0)</f>
        <v>0</v>
      </c>
      <c r="Q32" s="13" t="n">
        <f aca="false">IF(Q$25=$B$22+3,$B$19*(INDEX(Engine!$C$22:$Y$22,1,(Assumptions!$C$4-1)*6+2)+INDEX(Engine!$C$23:$Y$23,1,(Assumptions!$C$4-1)*6+2)+Assumptions!$C$26*INDEX(Engine!$C$25:$Y$25,1,(Assumptions!$C$4-1)*6+2))*Assumptions!$C$10,0)</f>
        <v>0</v>
      </c>
      <c r="R32" s="13" t="n">
        <f aca="false">IF(R$25=$B$22+3,$B$19*(INDEX(Engine!$C$22:$Y$22,1,(Assumptions!$C$4-1)*6+2)+INDEX(Engine!$C$23:$Y$23,1,(Assumptions!$C$4-1)*6+2)+Assumptions!$C$26*INDEX(Engine!$C$25:$Y$25,1,(Assumptions!$C$4-1)*6+2))*Assumptions!$C$10,0)</f>
        <v>0</v>
      </c>
      <c r="S32" s="13" t="n">
        <f aca="false">IF(S$25=$B$22+3,$B$19*(INDEX(Engine!$C$22:$Y$22,1,(Assumptions!$C$4-1)*6+2)+INDEX(Engine!$C$23:$Y$23,1,(Assumptions!$C$4-1)*6+2)+Assumptions!$C$26*INDEX(Engine!$C$25:$Y$25,1,(Assumptions!$C$4-1)*6+2))*Assumptions!$C$10,0)</f>
        <v>0</v>
      </c>
      <c r="T32" s="13" t="n">
        <f aca="false">IF(T$25=$B$22+3,$B$19*(INDEX(Engine!$C$22:$Y$22,1,(Assumptions!$C$4-1)*6+2)+INDEX(Engine!$C$23:$Y$23,1,(Assumptions!$C$4-1)*6+2)+Assumptions!$C$26*INDEX(Engine!$C$25:$Y$25,1,(Assumptions!$C$4-1)*6+2))*Assumptions!$C$10,0)</f>
        <v>0</v>
      </c>
      <c r="U32" s="13" t="n">
        <f aca="false">IF(U$25=$B$22+3,$B$19*(INDEX(Engine!$C$22:$Y$22,1,(Assumptions!$C$4-1)*6+2)+INDEX(Engine!$C$23:$Y$23,1,(Assumptions!$C$4-1)*6+2)+Assumptions!$C$26*INDEX(Engine!$C$25:$Y$25,1,(Assumptions!$C$4-1)*6+2))*Assumptions!$C$10,0)</f>
        <v>0</v>
      </c>
      <c r="V32" s="13" t="n">
        <f aca="false">IF(V$25=$B$22+3,$B$19*(INDEX(Engine!$C$22:$Y$22,1,(Assumptions!$C$4-1)*6+2)+INDEX(Engine!$C$23:$Y$23,1,(Assumptions!$C$4-1)*6+2)+Assumptions!$C$26*INDEX(Engine!$C$25:$Y$25,1,(Assumptions!$C$4-1)*6+2))*Assumptions!$C$10,0)</f>
        <v>0</v>
      </c>
      <c r="W32" s="13" t="n">
        <f aca="false">IF(W$25=$B$22+3,$B$19*(INDEX(Engine!$C$22:$Y$22,1,(Assumptions!$C$4-1)*6+2)+INDEX(Engine!$C$23:$Y$23,1,(Assumptions!$C$4-1)*6+2)+Assumptions!$C$26*INDEX(Engine!$C$25:$Y$25,1,(Assumptions!$C$4-1)*6+2))*Assumptions!$C$10,0)</f>
        <v>0</v>
      </c>
      <c r="X32" s="13" t="n">
        <f aca="false">IF(X$25=$B$22+3,$B$19*(INDEX(Engine!$C$22:$Y$22,1,(Assumptions!$C$4-1)*6+2)+INDEX(Engine!$C$23:$Y$23,1,(Assumptions!$C$4-1)*6+2)+Assumptions!$C$26*INDEX(Engine!$C$25:$Y$25,1,(Assumptions!$C$4-1)*6+2))*Assumptions!$C$10,0)</f>
        <v>0</v>
      </c>
      <c r="Y32" s="13" t="n">
        <f aca="false">IF(Y$25=$B$22+3,$B$19*(INDEX(Engine!$C$22:$Y$22,1,(Assumptions!$C$4-1)*6+2)+INDEX(Engine!$C$23:$Y$23,1,(Assumptions!$C$4-1)*6+2)+Assumptions!$C$26*INDEX(Engine!$C$25:$Y$25,1,(Assumptions!$C$4-1)*6+2))*Assumptions!$C$10,0)</f>
        <v>0</v>
      </c>
      <c r="Z32" s="13" t="n">
        <f aca="false">IF(Z$25=$B$22+3,$B$19*(INDEX(Engine!$C$22:$Y$22,1,(Assumptions!$C$4-1)*6+2)+INDEX(Engine!$C$23:$Y$23,1,(Assumptions!$C$4-1)*6+2)+Assumptions!$C$26*INDEX(Engine!$C$25:$Y$25,1,(Assumptions!$C$4-1)*6+2))*Assumptions!$C$10,0)</f>
        <v>0</v>
      </c>
    </row>
    <row r="33" customFormat="false" ht="15" hidden="false" customHeight="false" outlineLevel="0" collapsed="false">
      <c r="A33" s="0" t="s">
        <v>284</v>
      </c>
      <c r="B33" s="13" t="n">
        <f aca="false">IF(AND(B$25&gt;$B$22+1+$B$23,B$25&lt;=$B$22+1+$B$23+$B$20-1),$B$19/$B$20/INDEX(Engine!$C$10:$Y$10,1,(Assumptions!$C$4-1)*6+2)*(INDEX(Engine!$C$33:$Y$33,1,(Assumptions!$C$4-1)*6+3)/MAX(1,INDEX(Engine!$C$14:$Y$14,1,(Assumptions!$C$4-1)*6+3))),0)</f>
        <v>0</v>
      </c>
      <c r="C33" s="13" t="n">
        <f aca="false">IF(AND(C$25&gt;$B$22+1+$B$23,C$25&lt;=$B$22+1+$B$23+$B$20-1),$B$19/$B$20/INDEX(Engine!$C$10:$Y$10,1,(Assumptions!$C$4-1)*6+2)*(INDEX(Engine!$C$33:$Y$33,1,(Assumptions!$C$4-1)*6+3)/MAX(1,INDEX(Engine!$C$14:$Y$14,1,(Assumptions!$C$4-1)*6+3))),0)</f>
        <v>0</v>
      </c>
      <c r="D33" s="13" t="n">
        <f aca="false">IF(AND(D$25&gt;$B$22+1+$B$23,D$25&lt;=$B$22+1+$B$23+$B$20-1),$B$19/$B$20/INDEX(Engine!$C$10:$Y$10,1,(Assumptions!$C$4-1)*6+2)*(INDEX(Engine!$C$33:$Y$33,1,(Assumptions!$C$4-1)*6+3)/MAX(1,INDEX(Engine!$C$14:$Y$14,1,(Assumptions!$C$4-1)*6+3))),0)</f>
        <v>0</v>
      </c>
      <c r="E33" s="13" t="n">
        <f aca="false">IF(AND(E$25&gt;$B$22+1+$B$23,E$25&lt;=$B$22+1+$B$23+$B$20-1),$B$19/$B$20/INDEX(Engine!$C$10:$Y$10,1,(Assumptions!$C$4-1)*6+2)*(INDEX(Engine!$C$33:$Y$33,1,(Assumptions!$C$4-1)*6+3)/MAX(1,INDEX(Engine!$C$14:$Y$14,1,(Assumptions!$C$4-1)*6+3))),0)</f>
        <v>0</v>
      </c>
      <c r="F33" s="13" t="n">
        <f aca="false">IF(AND(F$25&gt;$B$22+1+$B$23,F$25&lt;=$B$22+1+$B$23+$B$20-1),$B$19/$B$20/INDEX(Engine!$C$10:$Y$10,1,(Assumptions!$C$4-1)*6+2)*(INDEX(Engine!$C$33:$Y$33,1,(Assumptions!$C$4-1)*6+3)/MAX(1,INDEX(Engine!$C$14:$Y$14,1,(Assumptions!$C$4-1)*6+3))),0)</f>
        <v>0</v>
      </c>
      <c r="G33" s="13" t="n">
        <f aca="false">IF(AND(G$25&gt;$B$22+1+$B$23,G$25&lt;=$B$22+1+$B$23+$B$20-1),$B$19/$B$20/INDEX(Engine!$C$10:$Y$10,1,(Assumptions!$C$4-1)*6+2)*(INDEX(Engine!$C$33:$Y$33,1,(Assumptions!$C$4-1)*6+3)/MAX(1,INDEX(Engine!$C$14:$Y$14,1,(Assumptions!$C$4-1)*6+3))),0)</f>
        <v>0</v>
      </c>
      <c r="H33" s="13" t="n">
        <f aca="false">IF(AND(H$25&gt;$B$22+1+$B$23,H$25&lt;=$B$22+1+$B$23+$B$20-1),$B$19/$B$20/INDEX(Engine!$C$10:$Y$10,1,(Assumptions!$C$4-1)*6+2)*(INDEX(Engine!$C$33:$Y$33,1,(Assumptions!$C$4-1)*6+3)/MAX(1,INDEX(Engine!$C$14:$Y$14,1,(Assumptions!$C$4-1)*6+3))),0)</f>
        <v>0</v>
      </c>
      <c r="I33" s="13" t="n">
        <f aca="false">IF(AND(I$25&gt;$B$22+1+$B$23,I$25&lt;=$B$22+1+$B$23+$B$20-1),$B$19/$B$20/INDEX(Engine!$C$10:$Y$10,1,(Assumptions!$C$4-1)*6+2)*(INDEX(Engine!$C$33:$Y$33,1,(Assumptions!$C$4-1)*6+3)/MAX(1,INDEX(Engine!$C$14:$Y$14,1,(Assumptions!$C$4-1)*6+3))),0)</f>
        <v>0</v>
      </c>
      <c r="J33" s="13" t="n">
        <f aca="false">IF(AND(J$25&gt;$B$22+1+$B$23,J$25&lt;=$B$22+1+$B$23+$B$20-1),$B$19/$B$20/INDEX(Engine!$C$10:$Y$10,1,(Assumptions!$C$4-1)*6+2)*(INDEX(Engine!$C$33:$Y$33,1,(Assumptions!$C$4-1)*6+3)/MAX(1,INDEX(Engine!$C$14:$Y$14,1,(Assumptions!$C$4-1)*6+3))),0)</f>
        <v>0</v>
      </c>
      <c r="K33" s="13" t="n">
        <f aca="false">IF(AND(K$25&gt;$B$22+1+$B$23,K$25&lt;=$B$22+1+$B$23+$B$20-1),$B$19/$B$20/INDEX(Engine!$C$10:$Y$10,1,(Assumptions!$C$4-1)*6+2)*(INDEX(Engine!$C$33:$Y$33,1,(Assumptions!$C$4-1)*6+3)/MAX(1,INDEX(Engine!$C$14:$Y$14,1,(Assumptions!$C$4-1)*6+3))),0)</f>
        <v>3882.14688113099</v>
      </c>
      <c r="L33" s="13" t="n">
        <f aca="false">IF(AND(L$25&gt;$B$22+1+$B$23,L$25&lt;=$B$22+1+$B$23+$B$20-1),$B$19/$B$20/INDEX(Engine!$C$10:$Y$10,1,(Assumptions!$C$4-1)*6+2)*(INDEX(Engine!$C$33:$Y$33,1,(Assumptions!$C$4-1)*6+3)/MAX(1,INDEX(Engine!$C$14:$Y$14,1,(Assumptions!$C$4-1)*6+3))),0)</f>
        <v>3882.14688113099</v>
      </c>
      <c r="M33" s="13" t="n">
        <f aca="false">IF(AND(M$25&gt;$B$22+1+$B$23,M$25&lt;=$B$22+1+$B$23+$B$20-1),$B$19/$B$20/INDEX(Engine!$C$10:$Y$10,1,(Assumptions!$C$4-1)*6+2)*(INDEX(Engine!$C$33:$Y$33,1,(Assumptions!$C$4-1)*6+3)/MAX(1,INDEX(Engine!$C$14:$Y$14,1,(Assumptions!$C$4-1)*6+3))),0)</f>
        <v>3882.14688113099</v>
      </c>
      <c r="N33" s="13" t="n">
        <f aca="false">IF(AND(N$25&gt;$B$22+1+$B$23,N$25&lt;=$B$22+1+$B$23+$B$20-1),$B$19/$B$20/INDEX(Engine!$C$10:$Y$10,1,(Assumptions!$C$4-1)*6+2)*(INDEX(Engine!$C$33:$Y$33,1,(Assumptions!$C$4-1)*6+3)/MAX(1,INDEX(Engine!$C$14:$Y$14,1,(Assumptions!$C$4-1)*6+3))),0)</f>
        <v>3882.14688113099</v>
      </c>
      <c r="O33" s="13" t="n">
        <f aca="false">IF(AND(O$25&gt;$B$22+1+$B$23,O$25&lt;=$B$22+1+$B$23+$B$20-1),$B$19/$B$20/INDEX(Engine!$C$10:$Y$10,1,(Assumptions!$C$4-1)*6+2)*(INDEX(Engine!$C$33:$Y$33,1,(Assumptions!$C$4-1)*6+3)/MAX(1,INDEX(Engine!$C$14:$Y$14,1,(Assumptions!$C$4-1)*6+3))),0)</f>
        <v>3882.14688113099</v>
      </c>
      <c r="P33" s="13" t="n">
        <f aca="false">IF(AND(P$25&gt;$B$22+1+$B$23,P$25&lt;=$B$22+1+$B$23+$B$20-1),$B$19/$B$20/INDEX(Engine!$C$10:$Y$10,1,(Assumptions!$C$4-1)*6+2)*(INDEX(Engine!$C$33:$Y$33,1,(Assumptions!$C$4-1)*6+3)/MAX(1,INDEX(Engine!$C$14:$Y$14,1,(Assumptions!$C$4-1)*6+3))),0)</f>
        <v>3882.14688113099</v>
      </c>
      <c r="Q33" s="13" t="n">
        <f aca="false">IF(AND(Q$25&gt;$B$22+1+$B$23,Q$25&lt;=$B$22+1+$B$23+$B$20-1),$B$19/$B$20/INDEX(Engine!$C$10:$Y$10,1,(Assumptions!$C$4-1)*6+2)*(INDEX(Engine!$C$33:$Y$33,1,(Assumptions!$C$4-1)*6+3)/MAX(1,INDEX(Engine!$C$14:$Y$14,1,(Assumptions!$C$4-1)*6+3))),0)</f>
        <v>3882.14688113099</v>
      </c>
      <c r="R33" s="13" t="n">
        <f aca="false">IF(AND(R$25&gt;$B$22+1+$B$23,R$25&lt;=$B$22+1+$B$23+$B$20-1),$B$19/$B$20/INDEX(Engine!$C$10:$Y$10,1,(Assumptions!$C$4-1)*6+2)*(INDEX(Engine!$C$33:$Y$33,1,(Assumptions!$C$4-1)*6+3)/MAX(1,INDEX(Engine!$C$14:$Y$14,1,(Assumptions!$C$4-1)*6+3))),0)</f>
        <v>3882.14688113099</v>
      </c>
      <c r="S33" s="13" t="n">
        <f aca="false">IF(AND(S$25&gt;$B$22+1+$B$23,S$25&lt;=$B$22+1+$B$23+$B$20-1),$B$19/$B$20/INDEX(Engine!$C$10:$Y$10,1,(Assumptions!$C$4-1)*6+2)*(INDEX(Engine!$C$33:$Y$33,1,(Assumptions!$C$4-1)*6+3)/MAX(1,INDEX(Engine!$C$14:$Y$14,1,(Assumptions!$C$4-1)*6+3))),0)</f>
        <v>3882.14688113099</v>
      </c>
      <c r="T33" s="13" t="n">
        <f aca="false">IF(AND(T$25&gt;$B$22+1+$B$23,T$25&lt;=$B$22+1+$B$23+$B$20-1),$B$19/$B$20/INDEX(Engine!$C$10:$Y$10,1,(Assumptions!$C$4-1)*6+2)*(INDEX(Engine!$C$33:$Y$33,1,(Assumptions!$C$4-1)*6+3)/MAX(1,INDEX(Engine!$C$14:$Y$14,1,(Assumptions!$C$4-1)*6+3))),0)</f>
        <v>3882.14688113099</v>
      </c>
      <c r="U33" s="13" t="n">
        <f aca="false">IF(AND(U$25&gt;$B$22+1+$B$23,U$25&lt;=$B$22+1+$B$23+$B$20-1),$B$19/$B$20/INDEX(Engine!$C$10:$Y$10,1,(Assumptions!$C$4-1)*6+2)*(INDEX(Engine!$C$33:$Y$33,1,(Assumptions!$C$4-1)*6+3)/MAX(1,INDEX(Engine!$C$14:$Y$14,1,(Assumptions!$C$4-1)*6+3))),0)</f>
        <v>3882.14688113099</v>
      </c>
      <c r="V33" s="13" t="n">
        <f aca="false">IF(AND(V$25&gt;$B$22+1+$B$23,V$25&lt;=$B$22+1+$B$23+$B$20-1),$B$19/$B$20/INDEX(Engine!$C$10:$Y$10,1,(Assumptions!$C$4-1)*6+2)*(INDEX(Engine!$C$33:$Y$33,1,(Assumptions!$C$4-1)*6+3)/MAX(1,INDEX(Engine!$C$14:$Y$14,1,(Assumptions!$C$4-1)*6+3))),0)</f>
        <v>0</v>
      </c>
      <c r="W33" s="13" t="n">
        <f aca="false">IF(AND(W$25&gt;$B$22+1+$B$23,W$25&lt;=$B$22+1+$B$23+$B$20-1),$B$19/$B$20/INDEX(Engine!$C$10:$Y$10,1,(Assumptions!$C$4-1)*6+2)*(INDEX(Engine!$C$33:$Y$33,1,(Assumptions!$C$4-1)*6+3)/MAX(1,INDEX(Engine!$C$14:$Y$14,1,(Assumptions!$C$4-1)*6+3))),0)</f>
        <v>0</v>
      </c>
      <c r="X33" s="13" t="n">
        <f aca="false">IF(AND(X$25&gt;$B$22+1+$B$23,X$25&lt;=$B$22+1+$B$23+$B$20-1),$B$19/$B$20/INDEX(Engine!$C$10:$Y$10,1,(Assumptions!$C$4-1)*6+2)*(INDEX(Engine!$C$33:$Y$33,1,(Assumptions!$C$4-1)*6+3)/MAX(1,INDEX(Engine!$C$14:$Y$14,1,(Assumptions!$C$4-1)*6+3))),0)</f>
        <v>0</v>
      </c>
      <c r="Y33" s="13" t="n">
        <f aca="false">IF(AND(Y$25&gt;$B$22+1+$B$23,Y$25&lt;=$B$22+1+$B$23+$B$20-1),$B$19/$B$20/INDEX(Engine!$C$10:$Y$10,1,(Assumptions!$C$4-1)*6+2)*(INDEX(Engine!$C$33:$Y$33,1,(Assumptions!$C$4-1)*6+3)/MAX(1,INDEX(Engine!$C$14:$Y$14,1,(Assumptions!$C$4-1)*6+3))),0)</f>
        <v>0</v>
      </c>
      <c r="Z33" s="13" t="n">
        <f aca="false">IF(AND(Z$25&gt;$B$22+1+$B$23,Z$25&lt;=$B$22+1+$B$23+$B$20-1),$B$19/$B$20/INDEX(Engine!$C$10:$Y$10,1,(Assumptions!$C$4-1)*6+2)*(INDEX(Engine!$C$33:$Y$33,1,(Assumptions!$C$4-1)*6+3)/MAX(1,INDEX(Engine!$C$14:$Y$14,1,(Assumptions!$C$4-1)*6+3))),0)</f>
        <v>0</v>
      </c>
    </row>
    <row r="34" customFormat="false" ht="15" hidden="false" customHeight="false" outlineLevel="0" collapsed="false">
      <c r="A34" s="0" t="s">
        <v>285</v>
      </c>
      <c r="B34" s="13" t="n">
        <f aca="false">IF($B$21=1,-INDEX(Engine!$C$40:$Y$40,1,(Assumptions!$C$4-1)*6+2)/12,0)</f>
        <v>-1897.5</v>
      </c>
      <c r="C34" s="13" t="n">
        <f aca="false">IF($B$21=1,-INDEX(Engine!$C$40:$Y$40,1,(Assumptions!$C$4-1)*6+2)/12,0)</f>
        <v>-1897.5</v>
      </c>
      <c r="D34" s="13" t="n">
        <f aca="false">IF($B$21=1,-INDEX(Engine!$C$40:$Y$40,1,(Assumptions!$C$4-1)*6+2)/12,0)</f>
        <v>-1897.5</v>
      </c>
      <c r="E34" s="13" t="n">
        <f aca="false">IF($B$21=1,-INDEX(Engine!$C$40:$Y$40,1,(Assumptions!$C$4-1)*6+2)/12,0)</f>
        <v>-1897.5</v>
      </c>
      <c r="F34" s="13" t="n">
        <f aca="false">IF($B$21=1,-INDEX(Engine!$C$40:$Y$40,1,(Assumptions!$C$4-1)*6+2)/12,0)</f>
        <v>-1897.5</v>
      </c>
      <c r="G34" s="13" t="n">
        <f aca="false">IF($B$21=1,-INDEX(Engine!$C$40:$Y$40,1,(Assumptions!$C$4-1)*6+2)/12,0)</f>
        <v>-1897.5</v>
      </c>
      <c r="H34" s="13" t="n">
        <f aca="false">IF($B$21=1,-INDEX(Engine!$C$40:$Y$40,1,(Assumptions!$C$4-1)*6+2)/12,0)</f>
        <v>-1897.5</v>
      </c>
      <c r="I34" s="13" t="n">
        <f aca="false">IF($B$21=1,-INDEX(Engine!$C$40:$Y$40,1,(Assumptions!$C$4-1)*6+2)/12,0)</f>
        <v>-1897.5</v>
      </c>
      <c r="J34" s="13" t="n">
        <f aca="false">IF($B$21=1,-INDEX(Engine!$C$40:$Y$40,1,(Assumptions!$C$4-1)*6+2)/12,0)</f>
        <v>-1897.5</v>
      </c>
      <c r="K34" s="13" t="n">
        <f aca="false">IF($B$21=1,-INDEX(Engine!$C$40:$Y$40,1,(Assumptions!$C$4-1)*6+2)/12,0)</f>
        <v>-1897.5</v>
      </c>
      <c r="L34" s="13" t="n">
        <f aca="false">IF($B$21=1,-INDEX(Engine!$C$40:$Y$40,1,(Assumptions!$C$4-1)*6+2)/12,0)</f>
        <v>-1897.5</v>
      </c>
      <c r="M34" s="13" t="n">
        <f aca="false">IF($B$21=1,-INDEX(Engine!$C$40:$Y$40,1,(Assumptions!$C$4-1)*6+2)/12,0)</f>
        <v>-1897.5</v>
      </c>
      <c r="N34" s="13" t="n">
        <f aca="false">IF($B$21=1,-INDEX(Engine!$C$40:$Y$40,1,(Assumptions!$C$4-1)*6+2)/12,0)</f>
        <v>-1897.5</v>
      </c>
      <c r="O34" s="13" t="n">
        <f aca="false">IF($B$21=1,-INDEX(Engine!$C$40:$Y$40,1,(Assumptions!$C$4-1)*6+2)/12,0)</f>
        <v>-1897.5</v>
      </c>
      <c r="P34" s="13" t="n">
        <f aca="false">IF($B$21=1,-INDEX(Engine!$C$40:$Y$40,1,(Assumptions!$C$4-1)*6+2)/12,0)</f>
        <v>-1897.5</v>
      </c>
      <c r="Q34" s="13" t="n">
        <f aca="false">IF($B$21=1,-INDEX(Engine!$C$40:$Y$40,1,(Assumptions!$C$4-1)*6+2)/12,0)</f>
        <v>-1897.5</v>
      </c>
      <c r="R34" s="13" t="n">
        <f aca="false">IF($B$21=1,-INDEX(Engine!$C$40:$Y$40,1,(Assumptions!$C$4-1)*6+2)/12,0)</f>
        <v>-1897.5</v>
      </c>
      <c r="S34" s="13" t="n">
        <f aca="false">IF($B$21=1,-INDEX(Engine!$C$40:$Y$40,1,(Assumptions!$C$4-1)*6+2)/12,0)</f>
        <v>-1897.5</v>
      </c>
      <c r="T34" s="13" t="n">
        <f aca="false">IF($B$21=1,-INDEX(Engine!$C$40:$Y$40,1,(Assumptions!$C$4-1)*6+2)/12,0)</f>
        <v>-1897.5</v>
      </c>
      <c r="U34" s="13" t="n">
        <f aca="false">IF($B$21=1,-INDEX(Engine!$C$40:$Y$40,1,(Assumptions!$C$4-1)*6+2)/12,0)</f>
        <v>-1897.5</v>
      </c>
      <c r="V34" s="13" t="n">
        <f aca="false">IF($B$21=1,-INDEX(Engine!$C$40:$Y$40,1,(Assumptions!$C$4-1)*6+2)/12,0)</f>
        <v>-1897.5</v>
      </c>
      <c r="W34" s="13" t="n">
        <f aca="false">IF($B$21=1,-INDEX(Engine!$C$40:$Y$40,1,(Assumptions!$C$4-1)*6+2)/12,0)</f>
        <v>-1897.5</v>
      </c>
      <c r="X34" s="13" t="n">
        <f aca="false">IF($B$21=1,-INDEX(Engine!$C$40:$Y$40,1,(Assumptions!$C$4-1)*6+2)/12,0)</f>
        <v>-1897.5</v>
      </c>
      <c r="Y34" s="13" t="n">
        <f aca="false">IF($B$21=1,-INDEX(Engine!$C$40:$Y$40,1,(Assumptions!$C$4-1)*6+2)/12,0)</f>
        <v>-1897.5</v>
      </c>
      <c r="Z34" s="13" t="n">
        <f aca="false">IF($B$21=1,-INDEX(Engine!$C$40:$Y$40,1,(Assumptions!$C$4-1)*6+2)/12,0)</f>
        <v>-1897.5</v>
      </c>
    </row>
    <row r="35" customFormat="false" ht="15" hidden="false" customHeight="false" outlineLevel="0" collapsed="false">
      <c r="A35" s="34" t="s">
        <v>286</v>
      </c>
      <c r="B35" s="6" t="n">
        <f aca="false">SUM(B26:B34)</f>
        <v>-12573.5869565217</v>
      </c>
      <c r="C35" s="6" t="n">
        <f aca="false">SUM(C26:C34)</f>
        <v>-1897.5</v>
      </c>
      <c r="D35" s="6" t="n">
        <f aca="false">SUM(D26:D34)</f>
        <v>-1897.5</v>
      </c>
      <c r="E35" s="6" t="n">
        <f aca="false">SUM(E26:E34)</f>
        <v>-1897.5</v>
      </c>
      <c r="F35" s="6" t="n">
        <f aca="false">SUM(F26:F34)</f>
        <v>-14338.597826087</v>
      </c>
      <c r="G35" s="6" t="n">
        <f aca="false">SUM(G26:G34)</f>
        <v>-29379.7351369565</v>
      </c>
      <c r="H35" s="6" t="n">
        <f aca="false">SUM(H26:H34)</f>
        <v>-1897.5</v>
      </c>
      <c r="I35" s="6" t="n">
        <f aca="false">SUM(I26:I34)</f>
        <v>-1897.5</v>
      </c>
      <c r="J35" s="6" t="n">
        <f aca="false">SUM(J26:J34)</f>
        <v>6608.26709347826</v>
      </c>
      <c r="K35" s="6" t="n">
        <f aca="false">SUM(K26:K34)</f>
        <v>1984.64688113099</v>
      </c>
      <c r="L35" s="6" t="n">
        <f aca="false">SUM(L26:L34)</f>
        <v>1984.64688113099</v>
      </c>
      <c r="M35" s="6" t="n">
        <f aca="false">SUM(M26:M34)</f>
        <v>1984.64688113099</v>
      </c>
      <c r="N35" s="6" t="n">
        <f aca="false">SUM(N26:N34)</f>
        <v>1984.64688113099</v>
      </c>
      <c r="O35" s="6" t="n">
        <f aca="false">SUM(O26:O34)</f>
        <v>1984.64688113099</v>
      </c>
      <c r="P35" s="6" t="n">
        <f aca="false">SUM(P26:P34)</f>
        <v>1984.64688113099</v>
      </c>
      <c r="Q35" s="6" t="n">
        <f aca="false">SUM(Q26:Q34)</f>
        <v>1984.64688113099</v>
      </c>
      <c r="R35" s="6" t="n">
        <f aca="false">SUM(R26:R34)</f>
        <v>1984.64688113099</v>
      </c>
      <c r="S35" s="6" t="n">
        <f aca="false">SUM(S26:S34)</f>
        <v>1984.64688113099</v>
      </c>
      <c r="T35" s="6" t="n">
        <f aca="false">SUM(T26:T34)</f>
        <v>1984.64688113099</v>
      </c>
      <c r="U35" s="6" t="n">
        <f aca="false">SUM(U26:U34)</f>
        <v>1984.64688113099</v>
      </c>
      <c r="V35" s="6" t="n">
        <f aca="false">SUM(V26:V34)</f>
        <v>-1897.5</v>
      </c>
      <c r="W35" s="6" t="n">
        <f aca="false">SUM(W26:W34)</f>
        <v>-1897.5</v>
      </c>
      <c r="X35" s="6" t="n">
        <f aca="false">SUM(X26:X34)</f>
        <v>-1897.5</v>
      </c>
      <c r="Y35" s="6" t="n">
        <f aca="false">SUM(Y26:Y34)</f>
        <v>-1897.5</v>
      </c>
      <c r="Z35" s="6" t="n">
        <f aca="false">SUM(Z26:Z34)</f>
        <v>-1897.5</v>
      </c>
    </row>
    <row r="36" customFormat="false" ht="15" hidden="false" customHeight="false" outlineLevel="0" collapsed="false">
      <c r="A36" s="34" t="s">
        <v>287</v>
      </c>
      <c r="B36" s="6" t="n">
        <f aca="false">B35</f>
        <v>-12573.5869565217</v>
      </c>
      <c r="C36" s="6" t="n">
        <f aca="false">B36+C35</f>
        <v>-14471.0869565217</v>
      </c>
      <c r="D36" s="6" t="n">
        <f aca="false">C36+D35</f>
        <v>-16368.5869565217</v>
      </c>
      <c r="E36" s="6" t="n">
        <f aca="false">D36+E35</f>
        <v>-18266.0869565217</v>
      </c>
      <c r="F36" s="6" t="n">
        <f aca="false">E36+F35</f>
        <v>-32604.6847826087</v>
      </c>
      <c r="G36" s="6" t="n">
        <f aca="false">F36+G35</f>
        <v>-61984.4199195652</v>
      </c>
      <c r="H36" s="6" t="n">
        <f aca="false">G36+H35</f>
        <v>-63881.9199195652</v>
      </c>
      <c r="I36" s="6" t="n">
        <f aca="false">H36+I35</f>
        <v>-65779.4199195652</v>
      </c>
      <c r="J36" s="6" t="n">
        <f aca="false">I36+J35</f>
        <v>-59171.152826087</v>
      </c>
      <c r="K36" s="6" t="n">
        <f aca="false">J36+K35</f>
        <v>-57186.505944956</v>
      </c>
      <c r="L36" s="6" t="n">
        <f aca="false">K36+L35</f>
        <v>-55201.859063825</v>
      </c>
      <c r="M36" s="6" t="n">
        <f aca="false">L36+M35</f>
        <v>-53217.212182694</v>
      </c>
      <c r="N36" s="6" t="n">
        <f aca="false">M36+N35</f>
        <v>-51232.565301563</v>
      </c>
      <c r="O36" s="6" t="n">
        <f aca="false">N36+O35</f>
        <v>-49247.918420432</v>
      </c>
      <c r="P36" s="6" t="n">
        <f aca="false">O36+P35</f>
        <v>-47263.271539301</v>
      </c>
      <c r="Q36" s="6" t="n">
        <f aca="false">P36+Q35</f>
        <v>-45278.62465817</v>
      </c>
      <c r="R36" s="6" t="n">
        <f aca="false">Q36+R35</f>
        <v>-43293.977777039</v>
      </c>
      <c r="S36" s="6" t="n">
        <f aca="false">R36+S35</f>
        <v>-41309.330895908</v>
      </c>
      <c r="T36" s="6" t="n">
        <f aca="false">S36+T35</f>
        <v>-39324.6840147771</v>
      </c>
      <c r="U36" s="6" t="n">
        <f aca="false">T36+U35</f>
        <v>-37340.0371336461</v>
      </c>
      <c r="V36" s="6" t="n">
        <f aca="false">U36+V35</f>
        <v>-39237.5371336461</v>
      </c>
      <c r="W36" s="6" t="n">
        <f aca="false">V36+W35</f>
        <v>-41135.0371336461</v>
      </c>
      <c r="X36" s="6" t="n">
        <f aca="false">W36+X35</f>
        <v>-43032.5371336461</v>
      </c>
      <c r="Y36" s="6" t="n">
        <f aca="false">X36+Y35</f>
        <v>-44930.0371336461</v>
      </c>
      <c r="Z36" s="6" t="n">
        <f aca="false">Y36+Z35</f>
        <v>-46827.5371336461</v>
      </c>
    </row>
    <row r="38" customFormat="false" ht="15" hidden="false" customHeight="false" outlineLevel="0" collapsed="false">
      <c r="A38" s="3" t="s">
        <v>288</v>
      </c>
      <c r="B38" s="7" t="n">
        <f aca="false">-MIN(0,MIN(B36:Z36))</f>
        <v>65779.4199195652</v>
      </c>
    </row>
    <row r="39" customFormat="false" ht="15" hidden="false" customHeight="false" outlineLevel="0" collapsed="false">
      <c r="A39" s="3" t="s">
        <v>289</v>
      </c>
      <c r="B39" s="9" t="n">
        <f aca="false">MATCH(MIN(B36:Z36),B36:Z36,0)-1</f>
        <v>7</v>
      </c>
    </row>
    <row r="40" customFormat="false" ht="15" hidden="false" customHeight="false" outlineLevel="0" collapsed="false">
      <c r="A40" s="3" t="s">
        <v>290</v>
      </c>
      <c r="B40" s="9" t="n">
        <f aca="false">$B$22+2+$B$23</f>
        <v>9</v>
      </c>
    </row>
    <row r="41" customFormat="false" ht="15" hidden="false" customHeight="false" outlineLevel="0" collapsed="false">
      <c r="A41" s="17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3" customFormat="false" ht="15" hidden="false" customHeight="false" outlineLevel="0" collapsed="false">
      <c r="A3" s="4" t="str">
        <f aca="false">"Escenario: "&amp;Assumptions!$D$4</f>
        <v>Escenario: Base</v>
      </c>
    </row>
    <row r="5" customFormat="false" ht="15" hidden="false" customHeight="false" outlineLevel="0" collapsed="false">
      <c r="A5" s="5" t="s">
        <v>232</v>
      </c>
      <c r="B5" s="5" t="s">
        <v>166</v>
      </c>
      <c r="C5" s="5" t="s">
        <v>167</v>
      </c>
      <c r="D5" s="5" t="s">
        <v>168</v>
      </c>
      <c r="E5" s="5" t="s">
        <v>169</v>
      </c>
      <c r="F5" s="5" t="s">
        <v>170</v>
      </c>
    </row>
    <row r="6" customFormat="false" ht="15" hidden="false" customHeight="false" outlineLevel="0" collapsed="false">
      <c r="A6" s="33" t="s">
        <v>233</v>
      </c>
      <c r="B6" s="13" t="n">
        <f aca="false">INDEX(Engine!$C$14:$Y$14,1,(Assumptions!$C$4-1)*6+1)</f>
        <v>0</v>
      </c>
      <c r="C6" s="13" t="n">
        <f aca="false">INDEX(Engine!$C$14:$Y$14,1,(Assumptions!$C$4-1)*6+2)</f>
        <v>2000</v>
      </c>
      <c r="D6" s="13" t="n">
        <f aca="false">INDEX(Engine!$C$14:$Y$14,1,(Assumptions!$C$4-1)*6+3)</f>
        <v>3500</v>
      </c>
      <c r="E6" s="13" t="n">
        <f aca="false">INDEX(Engine!$C$14:$Y$14,1,(Assumptions!$C$4-1)*6+4)</f>
        <v>5000</v>
      </c>
      <c r="F6" s="13" t="n">
        <f aca="false">INDEX(Engine!$C$14:$Y$14,1,(Assumptions!$C$4-1)*6+5)</f>
        <v>6500</v>
      </c>
    </row>
    <row r="7" customFormat="false" ht="15" hidden="false" customHeight="false" outlineLevel="0" collapsed="false">
      <c r="A7" s="33" t="s">
        <v>294</v>
      </c>
      <c r="B7" s="14" t="n">
        <f aca="false">INDEX(Engine!$C$29:$Y$29,1,(Assumptions!$C$4-1)*6+1)</f>
        <v>0</v>
      </c>
      <c r="C7" s="14" t="n">
        <f aca="false">INDEX(Engine!$C$29:$Y$29,1,(Assumptions!$C$4-1)*6+2)</f>
        <v>48000</v>
      </c>
      <c r="D7" s="14" t="n">
        <f aca="false">INDEX(Engine!$C$29:$Y$29,1,(Assumptions!$C$4-1)*6+3)</f>
        <v>84000</v>
      </c>
      <c r="E7" s="14" t="n">
        <f aca="false">INDEX(Engine!$C$29:$Y$29,1,(Assumptions!$C$4-1)*6+4)</f>
        <v>120000</v>
      </c>
      <c r="F7" s="14" t="n">
        <f aca="false">INDEX(Engine!$C$29:$Y$29,1,(Assumptions!$C$4-1)*6+5)</f>
        <v>156000</v>
      </c>
    </row>
    <row r="8" customFormat="false" ht="15" hidden="false" customHeight="false" outlineLevel="0" collapsed="false">
      <c r="A8" s="33" t="s">
        <v>295</v>
      </c>
      <c r="B8" s="14" t="n">
        <f aca="false">INDEX(Engine!$C$30:$Y$30,1,(Assumptions!$C$4-1)*6+1)</f>
        <v>0</v>
      </c>
      <c r="C8" s="14" t="n">
        <f aca="false">INDEX(Engine!$C$30:$Y$30,1,(Assumptions!$C$4-1)*6+2)</f>
        <v>39669.4214876033</v>
      </c>
      <c r="D8" s="14" t="n">
        <f aca="false">INDEX(Engine!$C$30:$Y$30,1,(Assumptions!$C$4-1)*6+3)</f>
        <v>69421.4876033058</v>
      </c>
      <c r="E8" s="14" t="n">
        <f aca="false">INDEX(Engine!$C$30:$Y$30,1,(Assumptions!$C$4-1)*6+4)</f>
        <v>99173.5537190083</v>
      </c>
      <c r="F8" s="14" t="n">
        <f aca="false">INDEX(Engine!$C$30:$Y$30,1,(Assumptions!$C$4-1)*6+5)</f>
        <v>128925.619834711</v>
      </c>
    </row>
    <row r="9" customFormat="false" ht="15" hidden="false" customHeight="false" outlineLevel="0" collapsed="false">
      <c r="A9" s="33" t="s">
        <v>296</v>
      </c>
      <c r="B9" s="14" t="n">
        <f aca="false">INDEX(Engine!$C$31:$Y$31,1,(Assumptions!$C$4-1)*6+1)</f>
        <v>0</v>
      </c>
      <c r="C9" s="14" t="n">
        <f aca="false">INDEX(Engine!$C$31:$Y$31,1,(Assumptions!$C$4-1)*6+2)</f>
        <v>4320</v>
      </c>
      <c r="D9" s="14" t="n">
        <f aca="false">INDEX(Engine!$C$31:$Y$31,1,(Assumptions!$C$4-1)*6+3)</f>
        <v>7560</v>
      </c>
      <c r="E9" s="14" t="n">
        <f aca="false">INDEX(Engine!$C$31:$Y$31,1,(Assumptions!$C$4-1)*6+4)</f>
        <v>10800</v>
      </c>
      <c r="F9" s="14" t="n">
        <f aca="false">INDEX(Engine!$C$31:$Y$31,1,(Assumptions!$C$4-1)*6+5)</f>
        <v>14040</v>
      </c>
    </row>
    <row r="10" customFormat="false" ht="15" hidden="false" customHeight="false" outlineLevel="0" collapsed="false">
      <c r="A10" s="33" t="s">
        <v>297</v>
      </c>
      <c r="B10" s="14" t="n">
        <f aca="false">INDEX(Engine!$C$32:$Y$32,1,(Assumptions!$C$4-1)*6+1)</f>
        <v>0</v>
      </c>
      <c r="C10" s="14" t="n">
        <f aca="false">INDEX(Engine!$C$32:$Y$32,1,(Assumptions!$C$4-1)*6+2)</f>
        <v>2400</v>
      </c>
      <c r="D10" s="14" t="n">
        <f aca="false">INDEX(Engine!$C$32:$Y$32,1,(Assumptions!$C$4-1)*6+3)</f>
        <v>4200</v>
      </c>
      <c r="E10" s="14" t="n">
        <f aca="false">INDEX(Engine!$C$32:$Y$32,1,(Assumptions!$C$4-1)*6+4)</f>
        <v>6000</v>
      </c>
      <c r="F10" s="14" t="n">
        <f aca="false">INDEX(Engine!$C$32:$Y$32,1,(Assumptions!$C$4-1)*6+5)</f>
        <v>7800</v>
      </c>
    </row>
    <row r="11" customFormat="false" ht="15" hidden="false" customHeight="false" outlineLevel="0" collapsed="false">
      <c r="A11" s="34" t="s">
        <v>298</v>
      </c>
      <c r="B11" s="7" t="n">
        <f aca="false">INDEX(Engine!$C$33:$Y$33,1,(Assumptions!$C$4-1)*6+1)</f>
        <v>0</v>
      </c>
      <c r="C11" s="7" t="n">
        <f aca="false">INDEX(Engine!$C$33:$Y$33,1,(Assumptions!$C$4-1)*6+2)</f>
        <v>32949.4214876033</v>
      </c>
      <c r="D11" s="7" t="n">
        <f aca="false">INDEX(Engine!$C$33:$Y$33,1,(Assumptions!$C$4-1)*6+3)</f>
        <v>57661.4876033058</v>
      </c>
      <c r="E11" s="7" t="n">
        <f aca="false">INDEX(Engine!$C$33:$Y$33,1,(Assumptions!$C$4-1)*6+4)</f>
        <v>82373.5537190083</v>
      </c>
      <c r="F11" s="7" t="n">
        <f aca="false">INDEX(Engine!$C$33:$Y$33,1,(Assumptions!$C$4-1)*6+5)</f>
        <v>107085.619834711</v>
      </c>
    </row>
    <row r="12" customFormat="false" ht="15" hidden="false" customHeight="false" outlineLevel="0" collapsed="false">
      <c r="A12" s="33" t="s">
        <v>299</v>
      </c>
      <c r="B12" s="14" t="n">
        <f aca="false">INDEX(Engine!$C$34:$Y$34,1,(Assumptions!$C$4-1)*6+1)</f>
        <v>0</v>
      </c>
      <c r="C12" s="14" t="n">
        <f aca="false">INDEX(Engine!$C$34:$Y$34,1,(Assumptions!$C$4-1)*6+2)</f>
        <v>8046.07670103093</v>
      </c>
      <c r="D12" s="14" t="n">
        <f aca="false">INDEX(Engine!$C$34:$Y$34,1,(Assumptions!$C$4-1)*6+3)</f>
        <v>14080.6342268041</v>
      </c>
      <c r="E12" s="14" t="n">
        <f aca="false">INDEX(Engine!$C$34:$Y$34,1,(Assumptions!$C$4-1)*6+4)</f>
        <v>20115.1917525773</v>
      </c>
      <c r="F12" s="14" t="n">
        <f aca="false">INDEX(Engine!$C$34:$Y$34,1,(Assumptions!$C$4-1)*6+5)</f>
        <v>26149.7492783505</v>
      </c>
    </row>
    <row r="13" customFormat="false" ht="15" hidden="false" customHeight="false" outlineLevel="0" collapsed="false">
      <c r="A13" s="34" t="s">
        <v>300</v>
      </c>
      <c r="B13" s="7" t="n">
        <f aca="false">INDEX(Engine!$C$35:$Y$35,1,(Assumptions!$C$4-1)*6+1)</f>
        <v>0</v>
      </c>
      <c r="C13" s="7" t="n">
        <f aca="false">INDEX(Engine!$C$35:$Y$35,1,(Assumptions!$C$4-1)*6+2)</f>
        <v>24903.3447865724</v>
      </c>
      <c r="D13" s="7" t="n">
        <f aca="false">INDEX(Engine!$C$35:$Y$35,1,(Assumptions!$C$4-1)*6+3)</f>
        <v>43580.8533765017</v>
      </c>
      <c r="E13" s="7" t="n">
        <f aca="false">INDEX(Engine!$C$35:$Y$35,1,(Assumptions!$C$4-1)*6+4)</f>
        <v>62258.361966431</v>
      </c>
      <c r="F13" s="7" t="n">
        <f aca="false">INDEX(Engine!$C$35:$Y$35,1,(Assumptions!$C$4-1)*6+5)</f>
        <v>80935.8705563602</v>
      </c>
    </row>
    <row r="14" customFormat="false" ht="15" hidden="false" customHeight="false" outlineLevel="0" collapsed="false">
      <c r="A14" s="33" t="s">
        <v>301</v>
      </c>
      <c r="B14" s="14" t="n">
        <f aca="false">INDEX(Engine!$C$36:$Y$36,1,(Assumptions!$C$4-1)*6+1)</f>
        <v>0</v>
      </c>
      <c r="C14" s="14" t="n">
        <f aca="false">INDEX(Engine!$C$36:$Y$36,1,(Assumptions!$C$4-1)*6+2)</f>
        <v>21407.8635899148</v>
      </c>
      <c r="D14" s="14" t="n">
        <f aca="false">INDEX(Engine!$C$36:$Y$36,1,(Assumptions!$C$4-1)*6+3)</f>
        <v>37463.761282351</v>
      </c>
      <c r="E14" s="14" t="n">
        <f aca="false">INDEX(Engine!$C$36:$Y$36,1,(Assumptions!$C$4-1)*6+4)</f>
        <v>53519.6589747871</v>
      </c>
      <c r="F14" s="14" t="n">
        <f aca="false">INDEX(Engine!$C$36:$Y$36,1,(Assumptions!$C$4-1)*6+5)</f>
        <v>69575.5566672232</v>
      </c>
    </row>
    <row r="15" customFormat="false" ht="15" hidden="false" customHeight="false" outlineLevel="0" collapsed="false">
      <c r="A15" s="33" t="s">
        <v>302</v>
      </c>
      <c r="B15" s="14" t="n">
        <f aca="false">INDEX(Engine!$C$37:$Y$37,1,(Assumptions!$C$4-1)*6+1)</f>
        <v>900</v>
      </c>
      <c r="C15" s="14" t="n">
        <f aca="false">INDEX(Engine!$C$37:$Y$37,1,(Assumptions!$C$4-1)*6+2)</f>
        <v>900</v>
      </c>
      <c r="D15" s="14" t="n">
        <f aca="false">INDEX(Engine!$C$37:$Y$37,1,(Assumptions!$C$4-1)*6+3)</f>
        <v>900</v>
      </c>
      <c r="E15" s="14" t="n">
        <f aca="false">INDEX(Engine!$C$37:$Y$37,1,(Assumptions!$C$4-1)*6+4)</f>
        <v>900</v>
      </c>
      <c r="F15" s="14" t="n">
        <f aca="false">INDEX(Engine!$C$37:$Y$37,1,(Assumptions!$C$4-1)*6+5)</f>
        <v>900</v>
      </c>
    </row>
    <row r="16" customFormat="false" ht="15" hidden="false" customHeight="false" outlineLevel="0" collapsed="false">
      <c r="A16" s="33" t="s">
        <v>303</v>
      </c>
      <c r="B16" s="14" t="n">
        <f aca="false">INDEX(Engine!$C$38:$Y$38,1,(Assumptions!$C$4-1)*6+1)</f>
        <v>0</v>
      </c>
      <c r="C16" s="14" t="n">
        <f aca="false">INDEX(Engine!$C$38:$Y$38,1,(Assumptions!$C$4-1)*6+2)</f>
        <v>0</v>
      </c>
      <c r="D16" s="14" t="n">
        <f aca="false">INDEX(Engine!$C$38:$Y$38,1,(Assumptions!$C$4-1)*6+3)</f>
        <v>0</v>
      </c>
      <c r="E16" s="14" t="n">
        <f aca="false">INDEX(Engine!$C$38:$Y$38,1,(Assumptions!$C$4-1)*6+4)</f>
        <v>0</v>
      </c>
      <c r="F16" s="14" t="n">
        <f aca="false">INDEX(Engine!$C$38:$Y$38,1,(Assumptions!$C$4-1)*6+5)</f>
        <v>0</v>
      </c>
    </row>
    <row r="17" customFormat="false" ht="15" hidden="false" customHeight="false" outlineLevel="0" collapsed="false">
      <c r="A17" s="34" t="s">
        <v>304</v>
      </c>
      <c r="B17" s="7" t="n">
        <f aca="false">INDEX(Engine!$C$39:$Y$39,1,(Assumptions!$C$4-1)*6+1)</f>
        <v>-900</v>
      </c>
      <c r="C17" s="7" t="n">
        <f aca="false">INDEX(Engine!$C$39:$Y$39,1,(Assumptions!$C$4-1)*6+2)</f>
        <v>2595.48119665754</v>
      </c>
      <c r="D17" s="7" t="n">
        <f aca="false">INDEX(Engine!$C$39:$Y$39,1,(Assumptions!$C$4-1)*6+3)</f>
        <v>5217.09209415069</v>
      </c>
      <c r="E17" s="7" t="n">
        <f aca="false">INDEX(Engine!$C$39:$Y$39,1,(Assumptions!$C$4-1)*6+4)</f>
        <v>7838.70299164386</v>
      </c>
      <c r="F17" s="7" t="n">
        <f aca="false">INDEX(Engine!$C$39:$Y$39,1,(Assumptions!$C$4-1)*6+5)</f>
        <v>10460.313889137</v>
      </c>
    </row>
    <row r="18" customFormat="false" ht="15" hidden="false" customHeight="false" outlineLevel="0" collapsed="false">
      <c r="A18" s="33" t="s">
        <v>305</v>
      </c>
      <c r="B18" s="14" t="n">
        <f aca="false">INDEX(Engine!$C$40:$Y$40,1,(Assumptions!$C$4-1)*6+1)</f>
        <v>26290</v>
      </c>
      <c r="C18" s="14" t="n">
        <f aca="false">INDEX(Engine!$C$40:$Y$40,1,(Assumptions!$C$4-1)*6+2)</f>
        <v>22770</v>
      </c>
      <c r="D18" s="14" t="n">
        <f aca="false">INDEX(Engine!$C$40:$Y$40,1,(Assumptions!$C$4-1)*6+3)</f>
        <v>22330</v>
      </c>
      <c r="E18" s="14" t="n">
        <f aca="false">INDEX(Engine!$C$40:$Y$40,1,(Assumptions!$C$4-1)*6+4)</f>
        <v>24090</v>
      </c>
      <c r="F18" s="14" t="n">
        <f aca="false">INDEX(Engine!$C$40:$Y$40,1,(Assumptions!$C$4-1)*6+5)</f>
        <v>24310</v>
      </c>
    </row>
    <row r="19" customFormat="false" ht="15" hidden="false" customHeight="false" outlineLevel="0" collapsed="false">
      <c r="A19" s="34" t="s">
        <v>306</v>
      </c>
      <c r="B19" s="7" t="n">
        <f aca="false">INDEX(Engine!$C$41:$Y$41,1,(Assumptions!$C$4-1)*6+1)</f>
        <v>-27190</v>
      </c>
      <c r="C19" s="7" t="n">
        <f aca="false">INDEX(Engine!$C$41:$Y$41,1,(Assumptions!$C$4-1)*6+2)</f>
        <v>-20174.5188033425</v>
      </c>
      <c r="D19" s="7" t="n">
        <f aca="false">INDEX(Engine!$C$41:$Y$41,1,(Assumptions!$C$4-1)*6+3)</f>
        <v>-17112.9079058493</v>
      </c>
      <c r="E19" s="7" t="n">
        <f aca="false">INDEX(Engine!$C$41:$Y$41,1,(Assumptions!$C$4-1)*6+4)</f>
        <v>-16251.2970083561</v>
      </c>
      <c r="F19" s="7" t="n">
        <f aca="false">INDEX(Engine!$C$41:$Y$41,1,(Assumptions!$C$4-1)*6+5)</f>
        <v>-13849.686110863</v>
      </c>
    </row>
    <row r="20" customFormat="false" ht="15" hidden="false" customHeight="false" outlineLevel="0" collapsed="false">
      <c r="A20" s="33" t="s">
        <v>307</v>
      </c>
      <c r="B20" s="14" t="n">
        <f aca="false">INDEX(Engine!$C$44:$Y$44,1,(Assumptions!$C$4-1)*6+1)</f>
        <v>2600</v>
      </c>
      <c r="C20" s="14" t="n">
        <f aca="false">INDEX(Engine!$C$44:$Y$44,1,(Assumptions!$C$4-1)*6+2)</f>
        <v>2600</v>
      </c>
      <c r="D20" s="14" t="n">
        <f aca="false">INDEX(Engine!$C$44:$Y$44,1,(Assumptions!$C$4-1)*6+3)</f>
        <v>3200</v>
      </c>
      <c r="E20" s="14" t="n">
        <f aca="false">INDEX(Engine!$C$44:$Y$44,1,(Assumptions!$C$4-1)*6+4)</f>
        <v>3200</v>
      </c>
      <c r="F20" s="14" t="n">
        <f aca="false">INDEX(Engine!$C$44:$Y$44,1,(Assumptions!$C$4-1)*6+5)</f>
        <v>3200</v>
      </c>
    </row>
    <row r="21" customFormat="false" ht="15" hidden="false" customHeight="false" outlineLevel="0" collapsed="false">
      <c r="A21" s="34" t="s">
        <v>308</v>
      </c>
      <c r="B21" s="7" t="n">
        <f aca="false">INDEX(Engine!$C$47:$Y$47,1,(Assumptions!$C$4-1)*6+1)</f>
        <v>-29790</v>
      </c>
      <c r="C21" s="7" t="n">
        <f aca="false">INDEX(Engine!$C$47:$Y$47,1,(Assumptions!$C$4-1)*6+2)</f>
        <v>-22774.5188033425</v>
      </c>
      <c r="D21" s="7" t="n">
        <f aca="false">INDEX(Engine!$C$47:$Y$47,1,(Assumptions!$C$4-1)*6+3)</f>
        <v>-20312.9079058493</v>
      </c>
      <c r="E21" s="7" t="n">
        <f aca="false">INDEX(Engine!$C$47:$Y$47,1,(Assumptions!$C$4-1)*6+4)</f>
        <v>-19451.2970083561</v>
      </c>
      <c r="F21" s="7" t="n">
        <f aca="false">INDEX(Engine!$C$47:$Y$47,1,(Assumptions!$C$4-1)*6+5)</f>
        <v>-17049.686110863</v>
      </c>
    </row>
    <row r="22" customFormat="false" ht="15" hidden="false" customHeight="false" outlineLevel="0" collapsed="false">
      <c r="A22" s="33" t="s">
        <v>309</v>
      </c>
      <c r="B22" s="14" t="n">
        <f aca="false">INDEX(Engine!$C$48:$Y$48,1,(Assumptions!$C$4-1)*6+1)</f>
        <v>0</v>
      </c>
      <c r="C22" s="14" t="n">
        <f aca="false">INDEX(Engine!$C$48:$Y$48,1,(Assumptions!$C$4-1)*6+2)</f>
        <v>831.429764774361</v>
      </c>
      <c r="D22" s="14" t="n">
        <f aca="false">INDEX(Engine!$C$48:$Y$48,1,(Assumptions!$C$4-1)*6+3)</f>
        <v>3531.90100898576</v>
      </c>
      <c r="E22" s="14" t="n">
        <f aca="false">INDEX(Engine!$C$48:$Y$48,1,(Assumptions!$C$4-1)*6+4)</f>
        <v>6329.71013804062</v>
      </c>
      <c r="F22" s="14" t="n">
        <f aca="false">INDEX(Engine!$C$48:$Y$48,1,(Assumptions!$C$4-1)*6+5)</f>
        <v>8962.54914166691</v>
      </c>
    </row>
    <row r="23" customFormat="false" ht="15" hidden="false" customHeight="false" outlineLevel="0" collapsed="false">
      <c r="A23" s="33" t="s">
        <v>310</v>
      </c>
      <c r="B23" s="14" t="n">
        <f aca="false">INDEX(Engine!$C$49:$Y$49,1,(Assumptions!$C$4-1)*6+1)</f>
        <v>-29790</v>
      </c>
      <c r="C23" s="14" t="n">
        <f aca="false">INDEX(Engine!$C$49:$Y$49,1,(Assumptions!$C$4-1)*6+2)</f>
        <v>-23605.9485681168</v>
      </c>
      <c r="D23" s="14" t="n">
        <f aca="false">INDEX(Engine!$C$49:$Y$49,1,(Assumptions!$C$4-1)*6+3)</f>
        <v>-23844.8089148351</v>
      </c>
      <c r="E23" s="14" t="n">
        <f aca="false">INDEX(Engine!$C$49:$Y$49,1,(Assumptions!$C$4-1)*6+4)</f>
        <v>-25781.0071463968</v>
      </c>
      <c r="F23" s="14" t="n">
        <f aca="false">INDEX(Engine!$C$49:$Y$49,1,(Assumptions!$C$4-1)*6+5)</f>
        <v>-26012.2352525299</v>
      </c>
    </row>
    <row r="24" customFormat="false" ht="15" hidden="false" customHeight="false" outlineLevel="0" collapsed="false">
      <c r="A24" s="33" t="s">
        <v>311</v>
      </c>
      <c r="B24" s="14" t="n">
        <f aca="false">INDEX(Engine!$C$53:$Y$53,1,(Assumptions!$C$4-1)*6+1)</f>
        <v>0</v>
      </c>
      <c r="C24" s="14" t="n">
        <f aca="false">INDEX(Engine!$C$53:$Y$53,1,(Assumptions!$C$4-1)*6+2)</f>
        <v>0</v>
      </c>
      <c r="D24" s="14" t="n">
        <f aca="false">INDEX(Engine!$C$53:$Y$53,1,(Assumptions!$C$4-1)*6+3)</f>
        <v>0</v>
      </c>
      <c r="E24" s="14" t="n">
        <f aca="false">INDEX(Engine!$C$53:$Y$53,1,(Assumptions!$C$4-1)*6+4)</f>
        <v>0</v>
      </c>
      <c r="F24" s="14" t="n">
        <f aca="false">INDEX(Engine!$C$53:$Y$53,1,(Assumptions!$C$4-1)*6+5)</f>
        <v>0</v>
      </c>
    </row>
    <row r="25" customFormat="false" ht="15" hidden="false" customHeight="false" outlineLevel="0" collapsed="false">
      <c r="A25" s="34" t="s">
        <v>312</v>
      </c>
      <c r="B25" s="7" t="n">
        <f aca="false">INDEX(Engine!$C$54:$Y$54,1,(Assumptions!$C$4-1)*6+1)</f>
        <v>-29790</v>
      </c>
      <c r="C25" s="7" t="n">
        <f aca="false">INDEX(Engine!$C$54:$Y$54,1,(Assumptions!$C$4-1)*6+2)</f>
        <v>-23605.9485681168</v>
      </c>
      <c r="D25" s="7" t="n">
        <f aca="false">INDEX(Engine!$C$54:$Y$54,1,(Assumptions!$C$4-1)*6+3)</f>
        <v>-23844.8089148351</v>
      </c>
      <c r="E25" s="7" t="n">
        <f aca="false">INDEX(Engine!$C$54:$Y$54,1,(Assumptions!$C$4-1)*6+4)</f>
        <v>-25781.0071463968</v>
      </c>
      <c r="F25" s="7" t="n">
        <f aca="false">INDEX(Engine!$C$54:$Y$54,1,(Assumptions!$C$4-1)*6+5)</f>
        <v>-26012.2352525299</v>
      </c>
    </row>
    <row r="26" customFormat="false" ht="15" hidden="false" customHeight="false" outlineLevel="0" collapsed="false">
      <c r="A26" s="3" t="s">
        <v>313</v>
      </c>
      <c r="B26" s="15" t="n">
        <f aca="false">IF(B13&lt;&gt;0,B17/B13,0)</f>
        <v>0</v>
      </c>
      <c r="C26" s="15" t="n">
        <f aca="false">IF(C13&lt;&gt;0,C17/C13,0)</f>
        <v>0.104222192597076</v>
      </c>
      <c r="D26" s="15" t="n">
        <f aca="false">IF(D13&lt;&gt;0,D17/D13,0)</f>
        <v>0.119710645614932</v>
      </c>
      <c r="E26" s="15" t="n">
        <f aca="false">IF(E13&lt;&gt;0,E17/E13,0)</f>
        <v>0.125906026822074</v>
      </c>
      <c r="F26" s="15" t="n">
        <f aca="false">IF(F13&lt;&gt;0,F17/F13,0)</f>
        <v>0.129242001318228</v>
      </c>
    </row>
    <row r="27" customFormat="false" ht="15" hidden="false" customHeight="false" outlineLevel="0" collapsed="false">
      <c r="A27" s="3" t="s">
        <v>314</v>
      </c>
      <c r="B27" s="15" t="n">
        <f aca="false">IF(B11&lt;&gt;0,B19/B11,0)</f>
        <v>0</v>
      </c>
      <c r="C27" s="15" t="n">
        <f aca="false">IF(C11&lt;&gt;0,C19/C11,0)</f>
        <v>-0.612287496790582</v>
      </c>
      <c r="D27" s="15" t="n">
        <f aca="false">IF(D11&lt;&gt;0,D19/D11,0)</f>
        <v>-0.296782282545</v>
      </c>
      <c r="E27" s="15" t="n">
        <f aca="false">IF(E11&lt;&gt;0,E19/E11,0)</f>
        <v>-0.197287797777821</v>
      </c>
      <c r="F27" s="15" t="n">
        <f aca="false">IF(F11&lt;&gt;0,F19/F11,0)</f>
        <v>-0.129332828555695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3" customFormat="false" ht="15" hidden="false" customHeight="false" outlineLevel="0" collapsed="false">
      <c r="A3" s="4" t="str">
        <f aca="false">"Escenario: "&amp;Assumptions!$D$4</f>
        <v>Escenario: Base</v>
      </c>
    </row>
    <row r="5" customFormat="false" ht="15" hidden="false" customHeight="false" outlineLevel="0" collapsed="false">
      <c r="A5" s="5" t="s">
        <v>232</v>
      </c>
      <c r="B5" s="5" t="s">
        <v>166</v>
      </c>
      <c r="C5" s="5" t="s">
        <v>167</v>
      </c>
      <c r="D5" s="5" t="s">
        <v>168</v>
      </c>
      <c r="E5" s="5" t="s">
        <v>169</v>
      </c>
      <c r="F5" s="5" t="s">
        <v>170</v>
      </c>
    </row>
    <row r="6" customFormat="false" ht="15" hidden="false" customHeight="false" outlineLevel="0" collapsed="false">
      <c r="A6" s="33" t="s">
        <v>317</v>
      </c>
      <c r="B6" s="14" t="n">
        <f aca="false">INDEX(Engine!$C$54:$Y$54,1,(Assumptions!$C$4-1)*6+1)</f>
        <v>-29790</v>
      </c>
      <c r="C6" s="14" t="n">
        <f aca="false">INDEX(Engine!$C$54:$Y$54,1,(Assumptions!$C$4-1)*6+2)</f>
        <v>-23605.9485681168</v>
      </c>
      <c r="D6" s="14" t="n">
        <f aca="false">INDEX(Engine!$C$54:$Y$54,1,(Assumptions!$C$4-1)*6+3)</f>
        <v>-23844.8089148351</v>
      </c>
      <c r="E6" s="14" t="n">
        <f aca="false">INDEX(Engine!$C$54:$Y$54,1,(Assumptions!$C$4-1)*6+4)</f>
        <v>-25781.0071463968</v>
      </c>
      <c r="F6" s="14" t="n">
        <f aca="false">INDEX(Engine!$C$54:$Y$54,1,(Assumptions!$C$4-1)*6+5)</f>
        <v>-26012.2352525299</v>
      </c>
    </row>
    <row r="7" customFormat="false" ht="15" hidden="false" customHeight="false" outlineLevel="0" collapsed="false">
      <c r="A7" s="33" t="s">
        <v>318</v>
      </c>
      <c r="B7" s="14" t="n">
        <f aca="false">INDEX(Engine!$C$44:$Y$44,1,(Assumptions!$C$4-1)*6+1)</f>
        <v>2600</v>
      </c>
      <c r="C7" s="14" t="n">
        <f aca="false">INDEX(Engine!$C$44:$Y$44,1,(Assumptions!$C$4-1)*6+2)</f>
        <v>2600</v>
      </c>
      <c r="D7" s="14" t="n">
        <f aca="false">INDEX(Engine!$C$44:$Y$44,1,(Assumptions!$C$4-1)*6+3)</f>
        <v>3200</v>
      </c>
      <c r="E7" s="14" t="n">
        <f aca="false">INDEX(Engine!$C$44:$Y$44,1,(Assumptions!$C$4-1)*6+4)</f>
        <v>3200</v>
      </c>
      <c r="F7" s="14" t="n">
        <f aca="false">INDEX(Engine!$C$44:$Y$44,1,(Assumptions!$C$4-1)*6+5)</f>
        <v>3200</v>
      </c>
    </row>
    <row r="8" customFormat="false" ht="15" hidden="false" customHeight="false" outlineLevel="0" collapsed="false">
      <c r="A8" s="33" t="s">
        <v>319</v>
      </c>
      <c r="B8" s="14" t="n">
        <f aca="false">INDEX(Engine!$C$68:$Y$68,1,(Assumptions!$C$4-1)*6+1)</f>
        <v>16687.5680682052</v>
      </c>
      <c r="C8" s="14" t="n">
        <f aca="false">INDEX(Engine!$C$68:$Y$68,1,(Assumptions!$C$4-1)*6+2)</f>
        <v>17572.2120634746</v>
      </c>
      <c r="D8" s="14" t="n">
        <f aca="false">INDEX(Engine!$C$68:$Y$68,1,(Assumptions!$C$4-1)*6+3)</f>
        <v>16323.8929288057</v>
      </c>
      <c r="E8" s="14" t="n">
        <f aca="false">INDEX(Engine!$C$68:$Y$68,1,(Assumptions!$C$4-1)*6+4)</f>
        <v>15030.9786196931</v>
      </c>
      <c r="F8" s="14" t="n">
        <f aca="false">INDEX(Engine!$C$68:$Y$68,1,(Assumptions!$C$4-1)*6+5)</f>
        <v>2967.42315743146</v>
      </c>
    </row>
    <row r="9" customFormat="false" ht="15" hidden="false" customHeight="false" outlineLevel="0" collapsed="false">
      <c r="A9" s="34" t="s">
        <v>320</v>
      </c>
      <c r="B9" s="7" t="n">
        <f aca="false">INDEX(Engine!$C$71:$Y$71,1,(Assumptions!$C$4-1)*6+1)</f>
        <v>-43877.5680682052</v>
      </c>
      <c r="C9" s="7" t="n">
        <f aca="false">INDEX(Engine!$C$71:$Y$71,1,(Assumptions!$C$4-1)*6+2)</f>
        <v>-38578.1606315915</v>
      </c>
      <c r="D9" s="7" t="n">
        <f aca="false">INDEX(Engine!$C$71:$Y$71,1,(Assumptions!$C$4-1)*6+3)</f>
        <v>-36968.7018436408</v>
      </c>
      <c r="E9" s="7" t="n">
        <f aca="false">INDEX(Engine!$C$71:$Y$71,1,(Assumptions!$C$4-1)*6+4)</f>
        <v>-37611.9857660899</v>
      </c>
      <c r="F9" s="7" t="n">
        <f aca="false">INDEX(Engine!$C$71:$Y$71,1,(Assumptions!$C$4-1)*6+5)</f>
        <v>-25779.6584099614</v>
      </c>
    </row>
    <row r="10" customFormat="false" ht="15" hidden="false" customHeight="false" outlineLevel="0" collapsed="false">
      <c r="A10" s="34" t="s">
        <v>321</v>
      </c>
      <c r="B10" s="7" t="n">
        <f aca="false">INDEX(Engine!$C$72:$Y$72,1,(Assumptions!$C$4-1)*6+1)</f>
        <v>-13000</v>
      </c>
      <c r="C10" s="7" t="n">
        <f aca="false">INDEX(Engine!$C$72:$Y$72,1,(Assumptions!$C$4-1)*6+2)</f>
        <v>-0</v>
      </c>
      <c r="D10" s="7" t="n">
        <f aca="false">INDEX(Engine!$C$72:$Y$72,1,(Assumptions!$C$4-1)*6+3)</f>
        <v>-3000</v>
      </c>
      <c r="E10" s="7" t="n">
        <f aca="false">INDEX(Engine!$C$72:$Y$72,1,(Assumptions!$C$4-1)*6+4)</f>
        <v>-0</v>
      </c>
      <c r="F10" s="7" t="n">
        <f aca="false">INDEX(Engine!$C$72:$Y$72,1,(Assumptions!$C$4-1)*6+5)</f>
        <v>-0</v>
      </c>
    </row>
    <row r="11" customFormat="false" ht="15" hidden="false" customHeight="false" outlineLevel="0" collapsed="false">
      <c r="A11" s="33" t="s">
        <v>322</v>
      </c>
      <c r="B11" s="14" t="n">
        <f aca="false">INDEX(Engine!$C$73:$Y$73,1,(Assumptions!$C$4-1)*6+1)</f>
        <v>50000</v>
      </c>
      <c r="C11" s="14" t="n">
        <f aca="false">INDEX(Engine!$C$73:$Y$73,1,(Assumptions!$C$4-1)*6+2)</f>
        <v>0</v>
      </c>
      <c r="D11" s="14" t="n">
        <f aca="false">INDEX(Engine!$C$73:$Y$73,1,(Assumptions!$C$4-1)*6+3)</f>
        <v>0</v>
      </c>
      <c r="E11" s="14" t="n">
        <f aca="false">INDEX(Engine!$C$73:$Y$73,1,(Assumptions!$C$4-1)*6+4)</f>
        <v>0</v>
      </c>
      <c r="F11" s="14" t="n">
        <f aca="false">INDEX(Engine!$C$73:$Y$73,1,(Assumptions!$C$4-1)*6+5)</f>
        <v>0</v>
      </c>
    </row>
    <row r="12" customFormat="false" ht="15" hidden="false" customHeight="false" outlineLevel="0" collapsed="false">
      <c r="A12" s="33" t="s">
        <v>323</v>
      </c>
      <c r="B12" s="14" t="n">
        <f aca="false">INDEX(Engine!$C$76:$Y$76,1,(Assumptions!$C$4-1)*6+1)</f>
        <v>11877.5680682052</v>
      </c>
      <c r="C12" s="14" t="n">
        <f aca="false">INDEX(Engine!$C$76:$Y$76,1,(Assumptions!$C$4-1)*6+2)</f>
        <v>38578.1606315915</v>
      </c>
      <c r="D12" s="14" t="n">
        <f aca="false">INDEX(Engine!$C$76:$Y$76,1,(Assumptions!$C$4-1)*6+3)</f>
        <v>39968.7018436408</v>
      </c>
      <c r="E12" s="14" t="n">
        <f aca="false">INDEX(Engine!$C$76:$Y$76,1,(Assumptions!$C$4-1)*6+4)</f>
        <v>37611.9857660899</v>
      </c>
      <c r="F12" s="14" t="n">
        <f aca="false">INDEX(Engine!$C$76:$Y$76,1,(Assumptions!$C$4-1)*6+5)</f>
        <v>25779.6584099614</v>
      </c>
    </row>
    <row r="13" customFormat="false" ht="15" hidden="false" customHeight="false" outlineLevel="0" collapsed="false">
      <c r="A13" s="34" t="s">
        <v>324</v>
      </c>
      <c r="B13" s="7" t="n">
        <f aca="false">SUM(B9:B12)</f>
        <v>5000</v>
      </c>
      <c r="C13" s="7" t="n">
        <f aca="false">SUM(C9:C12)</f>
        <v>0</v>
      </c>
      <c r="D13" s="7" t="n">
        <f aca="false">SUM(D9:D12)</f>
        <v>0</v>
      </c>
      <c r="E13" s="7" t="n">
        <f aca="false">SUM(E9:E12)</f>
        <v>0</v>
      </c>
      <c r="F13" s="7" t="n">
        <f aca="false">SUM(F9:F12)</f>
        <v>0</v>
      </c>
    </row>
    <row r="14" customFormat="false" ht="15" hidden="false" customHeight="false" outlineLevel="0" collapsed="false">
      <c r="A14" s="34" t="s">
        <v>325</v>
      </c>
      <c r="B14" s="7" t="n">
        <f aca="false">INDEX(Engine!$C$77:$Y$77,1,(Assumptions!$C$4-1)*6+1)</f>
        <v>5000</v>
      </c>
      <c r="C14" s="7" t="n">
        <f aca="false">INDEX(Engine!$C$77:$Y$77,1,(Assumptions!$C$4-1)*6+2)</f>
        <v>5000</v>
      </c>
      <c r="D14" s="7" t="n">
        <f aca="false">INDEX(Engine!$C$77:$Y$77,1,(Assumptions!$C$4-1)*6+3)</f>
        <v>5000</v>
      </c>
      <c r="E14" s="7" t="n">
        <f aca="false">INDEX(Engine!$C$77:$Y$77,1,(Assumptions!$C$4-1)*6+4)</f>
        <v>5000</v>
      </c>
      <c r="F14" s="7" t="n">
        <f aca="false">INDEX(Engine!$C$77:$Y$77,1,(Assumptions!$C$4-1)*6+5)</f>
        <v>5000</v>
      </c>
    </row>
    <row r="15" customFormat="false" ht="15" hidden="false" customHeight="false" outlineLevel="0" collapsed="false">
      <c r="A15" s="34" t="s">
        <v>326</v>
      </c>
      <c r="B15" s="7" t="n">
        <f aca="false">INDEX(Engine!$C$75:$Y$75,1,(Assumptions!$C$4-1)*6+1)</f>
        <v>11877.5680682052</v>
      </c>
      <c r="C15" s="7" t="n">
        <f aca="false">INDEX(Engine!$C$75:$Y$75,1,(Assumptions!$C$4-1)*6+2)</f>
        <v>50455.7286997966</v>
      </c>
      <c r="D15" s="7" t="n">
        <f aca="false">INDEX(Engine!$C$75:$Y$75,1,(Assumptions!$C$4-1)*6+3)</f>
        <v>90424.4305434374</v>
      </c>
      <c r="E15" s="7" t="n">
        <f aca="false">INDEX(Engine!$C$75:$Y$75,1,(Assumptions!$C$4-1)*6+4)</f>
        <v>128036.416309527</v>
      </c>
      <c r="F15" s="7" t="n">
        <f aca="false">INDEX(Engine!$C$75:$Y$75,1,(Assumptions!$C$4-1)*6+5)</f>
        <v>153816.074719489</v>
      </c>
    </row>
    <row r="16" customFormat="false" ht="15" hidden="false" customHeight="false" outlineLevel="0" collapsed="false">
      <c r="A16" s="34" t="s">
        <v>327</v>
      </c>
      <c r="B16" s="7" t="n">
        <f aca="false">INDEX(Engine!$C$87:$Y$87,1,(Assumptions!$C$4-1)*6+1)</f>
        <v>-56877.5680682052</v>
      </c>
      <c r="C16" s="7" t="n">
        <f aca="false">INDEX(Engine!$C$87:$Y$87,1,(Assumptions!$C$4-1)*6+2)</f>
        <v>-37746.7308668171</v>
      </c>
      <c r="D16" s="7" t="n">
        <f aca="false">INDEX(Engine!$C$87:$Y$87,1,(Assumptions!$C$4-1)*6+3)</f>
        <v>-36436.800834655</v>
      </c>
      <c r="E16" s="7" t="n">
        <f aca="false">INDEX(Engine!$C$87:$Y$87,1,(Assumptions!$C$4-1)*6+4)</f>
        <v>-31282.2756280493</v>
      </c>
      <c r="F16" s="7" t="n">
        <f aca="false">INDEX(Engine!$C$87:$Y$87,1,(Assumptions!$C$4-1)*6+5)</f>
        <v>-16817.1092682945</v>
      </c>
    </row>
    <row r="17" customFormat="false" ht="15" hidden="false" customHeight="false" outlineLevel="0" collapsed="false">
      <c r="A17" s="33" t="s">
        <v>328</v>
      </c>
      <c r="B17" s="14" t="n">
        <f aca="false">INDEX(Engine!$C$88:$Y$88,1,(Assumptions!$C$4-1)*6+1)</f>
        <v>-56877.5680682052</v>
      </c>
      <c r="C17" s="14" t="n">
        <f aca="false">INDEX(Engine!$C$88:$Y$88,1,(Assumptions!$C$4-1)*6+2)</f>
        <v>-94624.2989350223</v>
      </c>
      <c r="D17" s="14" t="n">
        <f aca="false">INDEX(Engine!$C$88:$Y$88,1,(Assumptions!$C$4-1)*6+3)</f>
        <v>-131061.099769677</v>
      </c>
      <c r="E17" s="14" t="n">
        <f aca="false">INDEX(Engine!$C$88:$Y$88,1,(Assumptions!$C$4-1)*6+4)</f>
        <v>-162343.375397727</v>
      </c>
      <c r="F17" s="14" t="n">
        <f aca="false">INDEX(Engine!$C$88:$Y$88,1,(Assumptions!$C$4-1)*6+5)</f>
        <v>-179160.484666021</v>
      </c>
    </row>
    <row r="19" customFormat="false" ht="15" hidden="false" customHeight="false" outlineLevel="0" collapsed="false">
      <c r="A19" s="3" t="s">
        <v>329</v>
      </c>
      <c r="B19" s="36" t="n">
        <f aca="false">ROUND(B14-0-B13,2)</f>
        <v>0</v>
      </c>
      <c r="C19" s="36" t="n">
        <f aca="false">ROUND(C14-B14-C13,2)</f>
        <v>0</v>
      </c>
      <c r="D19" s="36" t="n">
        <f aca="false">ROUND(D14-C14-D13,2)</f>
        <v>0</v>
      </c>
      <c r="E19" s="36" t="n">
        <f aca="false">ROUND(E14-D14-E13,2)</f>
        <v>0</v>
      </c>
      <c r="F19" s="36" t="n">
        <f aca="false">ROUND(F14-E14-F13,2)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330</v>
      </c>
    </row>
    <row r="3" customFormat="false" ht="15" hidden="false" customHeight="false" outlineLevel="0" collapsed="false">
      <c r="A3" s="4" t="str">
        <f aca="false">"Escenario: "&amp;Assumptions!$D$4</f>
        <v>Escenario: Base</v>
      </c>
    </row>
    <row r="5" customFormat="false" ht="15" hidden="false" customHeight="false" outlineLevel="0" collapsed="false">
      <c r="A5" s="5" t="s">
        <v>232</v>
      </c>
      <c r="B5" s="5" t="s">
        <v>166</v>
      </c>
      <c r="C5" s="5" t="s">
        <v>167</v>
      </c>
      <c r="D5" s="5" t="s">
        <v>168</v>
      </c>
      <c r="E5" s="5" t="s">
        <v>169</v>
      </c>
      <c r="F5" s="5" t="s">
        <v>170</v>
      </c>
    </row>
    <row r="6" customFormat="false" ht="15" hidden="false" customHeight="false" outlineLevel="0" collapsed="false">
      <c r="A6" s="23" t="s">
        <v>331</v>
      </c>
      <c r="B6" s="24"/>
      <c r="C6" s="24"/>
      <c r="D6" s="24"/>
      <c r="E6" s="24"/>
      <c r="F6" s="24"/>
    </row>
    <row r="7" customFormat="false" ht="15" hidden="false" customHeight="false" outlineLevel="0" collapsed="false">
      <c r="A7" s="33" t="s">
        <v>332</v>
      </c>
      <c r="B7" s="14" t="n">
        <f aca="false">INDEX(Engine!$C$46:$Y$46,1,(Assumptions!$C$4-1)*6+1)</f>
        <v>10400</v>
      </c>
      <c r="C7" s="14" t="n">
        <f aca="false">INDEX(Engine!$C$46:$Y$46,1,(Assumptions!$C$4-1)*6+2)</f>
        <v>7800</v>
      </c>
      <c r="D7" s="14" t="n">
        <f aca="false">INDEX(Engine!$C$46:$Y$46,1,(Assumptions!$C$4-1)*6+3)</f>
        <v>7600</v>
      </c>
      <c r="E7" s="14" t="n">
        <f aca="false">INDEX(Engine!$C$46:$Y$46,1,(Assumptions!$C$4-1)*6+4)</f>
        <v>4400</v>
      </c>
      <c r="F7" s="14" t="n">
        <f aca="false">INDEX(Engine!$C$46:$Y$46,1,(Assumptions!$C$4-1)*6+5)</f>
        <v>1200</v>
      </c>
    </row>
    <row r="8" customFormat="false" ht="15" hidden="false" customHeight="false" outlineLevel="0" collapsed="false">
      <c r="A8" s="33" t="s">
        <v>261</v>
      </c>
      <c r="B8" s="14" t="n">
        <f aca="false">INDEX(Engine!$C$57:$Y$57,1,(Assumptions!$C$4-1)*6+1)</f>
        <v>10089.2176086957</v>
      </c>
      <c r="C8" s="14" t="n">
        <f aca="false">INDEX(Engine!$C$57:$Y$57,1,(Assumptions!$C$4-1)*6+2)</f>
        <v>17656.1308152174</v>
      </c>
      <c r="D8" s="14" t="n">
        <f aca="false">INDEX(Engine!$C$57:$Y$57,1,(Assumptions!$C$4-1)*6+3)</f>
        <v>25223.0440217391</v>
      </c>
      <c r="E8" s="14" t="n">
        <f aca="false">INDEX(Engine!$C$57:$Y$57,1,(Assumptions!$C$4-1)*6+4)</f>
        <v>32789.9572282609</v>
      </c>
      <c r="F8" s="14" t="n">
        <f aca="false">INDEX(Engine!$C$57:$Y$57,1,(Assumptions!$C$4-1)*6+5)</f>
        <v>32789.9572282609</v>
      </c>
    </row>
    <row r="9" customFormat="false" ht="15" hidden="false" customHeight="false" outlineLevel="0" collapsed="false">
      <c r="A9" s="33" t="s">
        <v>262</v>
      </c>
      <c r="B9" s="14" t="n">
        <f aca="false">INDEX(Engine!$C$59:$Y$59,1,(Assumptions!$C$4-1)*6+1)</f>
        <v>3792</v>
      </c>
      <c r="C9" s="14" t="n">
        <f aca="false">INDEX(Engine!$C$59:$Y$59,1,(Assumptions!$C$4-1)*6+2)</f>
        <v>6636</v>
      </c>
      <c r="D9" s="14" t="n">
        <f aca="false">INDEX(Engine!$C$59:$Y$59,1,(Assumptions!$C$4-1)*6+3)</f>
        <v>9480</v>
      </c>
      <c r="E9" s="14" t="n">
        <f aca="false">INDEX(Engine!$C$59:$Y$59,1,(Assumptions!$C$4-1)*6+4)</f>
        <v>12324</v>
      </c>
      <c r="F9" s="14" t="n">
        <f aca="false">INDEX(Engine!$C$59:$Y$59,1,(Assumptions!$C$4-1)*6+5)</f>
        <v>12324</v>
      </c>
    </row>
    <row r="10" customFormat="false" ht="15" hidden="false" customHeight="false" outlineLevel="0" collapsed="false">
      <c r="A10" s="33" t="s">
        <v>263</v>
      </c>
      <c r="B10" s="14" t="n">
        <f aca="false">INDEX(Engine!$C$61:$Y$61,1,(Assumptions!$C$4-1)*6+1)</f>
        <v>4258.3584528612</v>
      </c>
      <c r="C10" s="14" t="n">
        <f aca="false">INDEX(Engine!$C$61:$Y$61,1,(Assumptions!$C$4-1)*6+2)</f>
        <v>6618.05799902884</v>
      </c>
      <c r="D10" s="14" t="n">
        <f aca="false">INDEX(Engine!$C$61:$Y$61,1,(Assumptions!$C$4-1)*6+3)</f>
        <v>8977.75754519648</v>
      </c>
      <c r="E10" s="14" t="n">
        <f aca="false">INDEX(Engine!$C$61:$Y$61,1,(Assumptions!$C$4-1)*6+4)</f>
        <v>10225.3647000598</v>
      </c>
      <c r="F10" s="14" t="n">
        <f aca="false">INDEX(Engine!$C$61:$Y$61,1,(Assumptions!$C$4-1)*6+5)</f>
        <v>10225.3647000598</v>
      </c>
    </row>
    <row r="11" customFormat="false" ht="15" hidden="false" customHeight="false" outlineLevel="0" collapsed="false">
      <c r="A11" s="33" t="s">
        <v>264</v>
      </c>
      <c r="B11" s="14" t="n">
        <f aca="false">INDEX(Engine!$C$60:$Y$60,1,(Assumptions!$C$4-1)*6+1)</f>
        <v>0</v>
      </c>
      <c r="C11" s="14" t="n">
        <f aca="false">INDEX(Engine!$C$60:$Y$60,1,(Assumptions!$C$4-1)*6+2)</f>
        <v>4915.33150684932</v>
      </c>
      <c r="D11" s="14" t="n">
        <f aca="false">INDEX(Engine!$C$60:$Y$60,1,(Assumptions!$C$4-1)*6+3)</f>
        <v>8601.8301369863</v>
      </c>
      <c r="E11" s="14" t="n">
        <f aca="false">INDEX(Engine!$C$60:$Y$60,1,(Assumptions!$C$4-1)*6+4)</f>
        <v>12288.3287671233</v>
      </c>
      <c r="F11" s="14" t="n">
        <f aca="false">INDEX(Engine!$C$60:$Y$60,1,(Assumptions!$C$4-1)*6+5)</f>
        <v>15974.8273972603</v>
      </c>
    </row>
    <row r="12" customFormat="false" ht="15" hidden="false" customHeight="false" outlineLevel="0" collapsed="false">
      <c r="A12" s="33" t="s">
        <v>265</v>
      </c>
      <c r="B12" s="14" t="n">
        <f aca="false">INDEX(Engine!$C$63:$Y$63,1,(Assumptions!$C$4-1)*6+1)</f>
        <v>708.813924456522</v>
      </c>
      <c r="C12" s="14" t="n">
        <f aca="false">INDEX(Engine!$C$63:$Y$63,1,(Assumptions!$C$4-1)*6+2)</f>
        <v>2035.61128799849</v>
      </c>
      <c r="D12" s="14" t="n">
        <f aca="false">INDEX(Engine!$C$63:$Y$63,1,(Assumptions!$C$4-1)*6+3)</f>
        <v>3163.61192149056</v>
      </c>
      <c r="E12" s="14" t="n">
        <f aca="false">INDEX(Engine!$C$63:$Y$63,1,(Assumptions!$C$4-1)*6+4)</f>
        <v>4291.61255498263</v>
      </c>
      <c r="F12" s="14" t="n">
        <f aca="false">INDEX(Engine!$C$63:$Y$63,1,(Assumptions!$C$4-1)*6+5)</f>
        <v>4888.00274513231</v>
      </c>
    </row>
    <row r="13" customFormat="false" ht="15" hidden="false" customHeight="false" outlineLevel="0" collapsed="false">
      <c r="A13" s="33" t="s">
        <v>333</v>
      </c>
      <c r="B13" s="14" t="n">
        <f aca="false">INDEX(Engine!$C$77:$Y$77,1,(Assumptions!$C$4-1)*6+1)</f>
        <v>5000</v>
      </c>
      <c r="C13" s="14" t="n">
        <f aca="false">INDEX(Engine!$C$77:$Y$77,1,(Assumptions!$C$4-1)*6+2)</f>
        <v>5000</v>
      </c>
      <c r="D13" s="14" t="n">
        <f aca="false">INDEX(Engine!$C$77:$Y$77,1,(Assumptions!$C$4-1)*6+3)</f>
        <v>5000</v>
      </c>
      <c r="E13" s="14" t="n">
        <f aca="false">INDEX(Engine!$C$77:$Y$77,1,(Assumptions!$C$4-1)*6+4)</f>
        <v>5000</v>
      </c>
      <c r="F13" s="14" t="n">
        <f aca="false">INDEX(Engine!$C$77:$Y$77,1,(Assumptions!$C$4-1)*6+5)</f>
        <v>5000</v>
      </c>
    </row>
    <row r="14" customFormat="false" ht="15" hidden="false" customHeight="false" outlineLevel="0" collapsed="false">
      <c r="A14" s="34" t="s">
        <v>334</v>
      </c>
      <c r="B14" s="7" t="n">
        <f aca="false">INDEX(Engine!$C$80:$Y$80,1,(Assumptions!$C$4-1)*6+1)</f>
        <v>34248.3899860134</v>
      </c>
      <c r="C14" s="7" t="n">
        <f aca="false">INDEX(Engine!$C$80:$Y$80,1,(Assumptions!$C$4-1)*6+2)</f>
        <v>50661.131609094</v>
      </c>
      <c r="D14" s="7" t="n">
        <f aca="false">INDEX(Engine!$C$80:$Y$80,1,(Assumptions!$C$4-1)*6+3)</f>
        <v>68046.2436254125</v>
      </c>
      <c r="E14" s="7" t="n">
        <f aca="false">INDEX(Engine!$C$80:$Y$80,1,(Assumptions!$C$4-1)*6+4)</f>
        <v>81319.2632504266</v>
      </c>
      <c r="F14" s="7" t="n">
        <f aca="false">INDEX(Engine!$C$80:$Y$80,1,(Assumptions!$C$4-1)*6+5)</f>
        <v>82402.1520707132</v>
      </c>
    </row>
    <row r="15" customFormat="false" ht="15" hidden="false" customHeight="false" outlineLevel="0" collapsed="false">
      <c r="A15" s="23" t="s">
        <v>335</v>
      </c>
      <c r="B15" s="24"/>
      <c r="C15" s="24"/>
      <c r="D15" s="24"/>
      <c r="E15" s="24"/>
      <c r="F15" s="24"/>
    </row>
    <row r="16" customFormat="false" ht="15" hidden="false" customHeight="false" outlineLevel="0" collapsed="false">
      <c r="A16" s="33" t="s">
        <v>336</v>
      </c>
      <c r="B16" s="14" t="n">
        <f aca="false">Assumptions!$C$9</f>
        <v>50000</v>
      </c>
      <c r="C16" s="14" t="n">
        <f aca="false">Assumptions!$C$9</f>
        <v>50000</v>
      </c>
      <c r="D16" s="14" t="n">
        <f aca="false">Assumptions!$C$9</f>
        <v>50000</v>
      </c>
      <c r="E16" s="14" t="n">
        <f aca="false">Assumptions!$C$9</f>
        <v>50000</v>
      </c>
      <c r="F16" s="14" t="n">
        <f aca="false">Assumptions!$C$9</f>
        <v>50000</v>
      </c>
    </row>
    <row r="17" customFormat="false" ht="15" hidden="false" customHeight="false" outlineLevel="0" collapsed="false">
      <c r="A17" s="33" t="s">
        <v>337</v>
      </c>
      <c r="B17" s="14" t="n">
        <f aca="false">INDEX(Engine!$C$82:$Y$82,1,(Assumptions!$C$4-1)*6+1)</f>
        <v>-29790</v>
      </c>
      <c r="C17" s="14" t="n">
        <f aca="false">INDEX(Engine!$C$82:$Y$82,1,(Assumptions!$C$4-1)*6+2)</f>
        <v>-53395.9485681168</v>
      </c>
      <c r="D17" s="14" t="n">
        <f aca="false">INDEX(Engine!$C$82:$Y$82,1,(Assumptions!$C$4-1)*6+3)</f>
        <v>-77240.7574829519</v>
      </c>
      <c r="E17" s="14" t="n">
        <f aca="false">INDEX(Engine!$C$82:$Y$82,1,(Assumptions!$C$4-1)*6+4)</f>
        <v>-103021.764629349</v>
      </c>
      <c r="F17" s="14" t="n">
        <f aca="false">INDEX(Engine!$C$82:$Y$82,1,(Assumptions!$C$4-1)*6+5)</f>
        <v>-129033.999881879</v>
      </c>
    </row>
    <row r="18" customFormat="false" ht="15" hidden="false" customHeight="false" outlineLevel="0" collapsed="false">
      <c r="A18" s="34" t="s">
        <v>338</v>
      </c>
      <c r="B18" s="7" t="n">
        <f aca="false">INDEX(Engine!$C$83:$Y$83,1,(Assumptions!$C$4-1)*6+1)</f>
        <v>20210</v>
      </c>
      <c r="C18" s="7" t="n">
        <f aca="false">INDEX(Engine!$C$83:$Y$83,1,(Assumptions!$C$4-1)*6+2)</f>
        <v>-3395.94856811682</v>
      </c>
      <c r="D18" s="7" t="n">
        <f aca="false">INDEX(Engine!$C$83:$Y$83,1,(Assumptions!$C$4-1)*6+3)</f>
        <v>-27240.7574829519</v>
      </c>
      <c r="E18" s="7" t="n">
        <f aca="false">INDEX(Engine!$C$83:$Y$83,1,(Assumptions!$C$4-1)*6+4)</f>
        <v>-53021.7646293487</v>
      </c>
      <c r="F18" s="7" t="n">
        <f aca="false">INDEX(Engine!$C$83:$Y$83,1,(Assumptions!$C$4-1)*6+5)</f>
        <v>-79033.9998818786</v>
      </c>
    </row>
    <row r="19" customFormat="false" ht="15" hidden="false" customHeight="false" outlineLevel="0" collapsed="false">
      <c r="A19" s="33" t="s">
        <v>339</v>
      </c>
      <c r="B19" s="14" t="n">
        <f aca="false">INDEX(Engine!$C$75:$Y$75,1,(Assumptions!$C$4-1)*6+1)</f>
        <v>11877.5680682052</v>
      </c>
      <c r="C19" s="14" t="n">
        <f aca="false">INDEX(Engine!$C$75:$Y$75,1,(Assumptions!$C$4-1)*6+2)</f>
        <v>50455.7286997966</v>
      </c>
      <c r="D19" s="14" t="n">
        <f aca="false">INDEX(Engine!$C$75:$Y$75,1,(Assumptions!$C$4-1)*6+3)</f>
        <v>90424.4305434374</v>
      </c>
      <c r="E19" s="14" t="n">
        <f aca="false">INDEX(Engine!$C$75:$Y$75,1,(Assumptions!$C$4-1)*6+4)</f>
        <v>128036.416309527</v>
      </c>
      <c r="F19" s="14" t="n">
        <f aca="false">INDEX(Engine!$C$75:$Y$75,1,(Assumptions!$C$4-1)*6+5)</f>
        <v>153816.074719489</v>
      </c>
    </row>
    <row r="20" customFormat="false" ht="15" hidden="false" customHeight="false" outlineLevel="0" collapsed="false">
      <c r="A20" s="33" t="s">
        <v>340</v>
      </c>
      <c r="B20" s="14" t="n">
        <f aca="false">INDEX(Engine!$C$64:$Y$64,1,(Assumptions!$C$4-1)*6+1)</f>
        <v>2160.82191780822</v>
      </c>
      <c r="C20" s="14" t="n">
        <f aca="false">INDEX(Engine!$C$64:$Y$64,1,(Assumptions!$C$4-1)*6+2)</f>
        <v>1871.50684931507</v>
      </c>
      <c r="D20" s="14" t="n">
        <f aca="false">INDEX(Engine!$C$64:$Y$64,1,(Assumptions!$C$4-1)*6+3)</f>
        <v>1835.34246575342</v>
      </c>
      <c r="E20" s="14" t="n">
        <f aca="false">INDEX(Engine!$C$64:$Y$64,1,(Assumptions!$C$4-1)*6+4)</f>
        <v>1980</v>
      </c>
      <c r="F20" s="14" t="n">
        <f aca="false">INDEX(Engine!$C$64:$Y$64,1,(Assumptions!$C$4-1)*6+5)</f>
        <v>1998.08219178082</v>
      </c>
    </row>
    <row r="21" customFormat="false" ht="15" hidden="false" customHeight="false" outlineLevel="0" collapsed="false">
      <c r="A21" s="33" t="s">
        <v>341</v>
      </c>
      <c r="B21" s="14" t="n">
        <f aca="false">INDEX(Engine!$C$66:$Y$66,1,(Assumptions!$C$4-1)*6+1)</f>
        <v>0</v>
      </c>
      <c r="C21" s="14" t="n">
        <f aca="false">INDEX(Engine!$C$66:$Y$66,1,(Assumptions!$C$4-1)*6+2)</f>
        <v>1729.84462809917</v>
      </c>
      <c r="D21" s="14" t="n">
        <f aca="false">INDEX(Engine!$C$66:$Y$66,1,(Assumptions!$C$4-1)*6+3)</f>
        <v>3027.22809917355</v>
      </c>
      <c r="E21" s="14" t="n">
        <f aca="false">INDEX(Engine!$C$66:$Y$66,1,(Assumptions!$C$4-1)*6+4)</f>
        <v>4324.61157024793</v>
      </c>
      <c r="F21" s="14" t="n">
        <f aca="false">INDEX(Engine!$C$66:$Y$66,1,(Assumptions!$C$4-1)*6+5)</f>
        <v>5621.99504132231</v>
      </c>
    </row>
    <row r="22" customFormat="false" ht="15" hidden="false" customHeight="false" outlineLevel="0" collapsed="false">
      <c r="A22" s="34" t="s">
        <v>342</v>
      </c>
      <c r="B22" s="7" t="n">
        <f aca="false">B18+B19+B20+B21</f>
        <v>34248.3899860134</v>
      </c>
      <c r="C22" s="7" t="n">
        <f aca="false">C18+C19+C20+C21</f>
        <v>50661.131609094</v>
      </c>
      <c r="D22" s="7" t="n">
        <f aca="false">D18+D19+D20+D21</f>
        <v>68046.2436254125</v>
      </c>
      <c r="E22" s="7" t="n">
        <f aca="false">E18+E19+E20+E21</f>
        <v>81319.2632504266</v>
      </c>
      <c r="F22" s="7" t="n">
        <f aca="false">F18+F19+F20+F21</f>
        <v>82402.1520707133</v>
      </c>
    </row>
    <row r="23" customFormat="false" ht="15" hidden="false" customHeight="false" outlineLevel="0" collapsed="false">
      <c r="A23" s="34" t="s">
        <v>343</v>
      </c>
      <c r="B23" s="11" t="n">
        <f aca="false">INDEX(Engine!$C$84:$Y$84,1,(Assumptions!$C$4-1)*6+1)</f>
        <v>0</v>
      </c>
      <c r="C23" s="11" t="n">
        <f aca="false">INDEX(Engine!$C$84:$Y$84,1,(Assumptions!$C$4-1)*6+2)</f>
        <v>0</v>
      </c>
      <c r="D23" s="11" t="n">
        <f aca="false">INDEX(Engine!$C$84:$Y$84,1,(Assumptions!$C$4-1)*6+3)</f>
        <v>0</v>
      </c>
      <c r="E23" s="11" t="n">
        <f aca="false">INDEX(Engine!$C$84:$Y$84,1,(Assumptions!$C$4-1)*6+4)</f>
        <v>0</v>
      </c>
      <c r="F23" s="11" t="n">
        <f aca="false">INDEX(Engine!$C$84:$Y$84,1,(Assumptions!$C$4-1)*6+5)</f>
        <v>0</v>
      </c>
    </row>
  </sheetData>
  <conditionalFormatting sqref="B23:F23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344</v>
      </c>
    </row>
    <row r="2" customFormat="false" ht="15" hidden="false" customHeight="false" outlineLevel="0" collapsed="false">
      <c r="A2" s="2" t="s">
        <v>345</v>
      </c>
    </row>
    <row r="3" customFormat="false" ht="15" hidden="false" customHeight="false" outlineLevel="0" collapsed="false">
      <c r="A3" s="4" t="str">
        <f aca="false">"Escenario: "&amp;Assumptions!$D$4</f>
        <v>Escenario: Base</v>
      </c>
    </row>
    <row r="5" customFormat="false" ht="15" hidden="false" customHeight="false" outlineLevel="0" collapsed="false">
      <c r="A5" s="5" t="s">
        <v>232</v>
      </c>
      <c r="B5" s="5" t="s">
        <v>166</v>
      </c>
      <c r="C5" s="5" t="s">
        <v>167</v>
      </c>
      <c r="D5" s="5" t="s">
        <v>168</v>
      </c>
      <c r="E5" s="5" t="s">
        <v>169</v>
      </c>
      <c r="F5" s="5" t="s">
        <v>170</v>
      </c>
    </row>
    <row r="6" customFormat="false" ht="15" hidden="false" customHeight="false" outlineLevel="0" collapsed="false">
      <c r="A6" s="33" t="s">
        <v>346</v>
      </c>
      <c r="B6" s="32" t="n">
        <f aca="false">INDEX(Engine!$C$26:$Y$26,1,(Assumptions!$C$4-1)*6+1)</f>
        <v>1.74774059832877</v>
      </c>
      <c r="C6" s="32" t="n">
        <f aca="false">INDEX(Engine!$C$26:$Y$26,1,(Assumptions!$C$4-1)*6+2)</f>
        <v>1.74774059832877</v>
      </c>
      <c r="D6" s="32" t="n">
        <f aca="false">INDEX(Engine!$C$26:$Y$26,1,(Assumptions!$C$4-1)*6+3)</f>
        <v>1.74774059832877</v>
      </c>
      <c r="E6" s="32" t="n">
        <f aca="false">INDEX(Engine!$C$26:$Y$26,1,(Assumptions!$C$4-1)*6+4)</f>
        <v>1.74774059832877</v>
      </c>
      <c r="F6" s="32" t="n">
        <f aca="false">INDEX(Engine!$C$26:$Y$26,1,(Assumptions!$C$4-1)*6+5)</f>
        <v>1.74774059832877</v>
      </c>
    </row>
    <row r="7" customFormat="false" ht="15" hidden="false" customHeight="false" outlineLevel="0" collapsed="false">
      <c r="A7" s="33" t="s">
        <v>347</v>
      </c>
      <c r="B7" s="14" t="n">
        <f aca="false">INDEX(Engine!$C$40:$Y$40,1,(Assumptions!$C$4-1)*6+1)+Assumptions!$C$18*Assumptions!$C$17</f>
        <v>27190</v>
      </c>
      <c r="C7" s="14" t="n">
        <f aca="false">INDEX(Engine!$C$40:$Y$40,1,(Assumptions!$C$4-1)*6+2)+Assumptions!$C$18*Assumptions!$C$17</f>
        <v>23670</v>
      </c>
      <c r="D7" s="14" t="n">
        <f aca="false">INDEX(Engine!$C$40:$Y$40,1,(Assumptions!$C$4-1)*6+3)+Assumptions!$C$18*Assumptions!$C$17</f>
        <v>23230</v>
      </c>
      <c r="E7" s="14" t="n">
        <f aca="false">INDEX(Engine!$C$40:$Y$40,1,(Assumptions!$C$4-1)*6+4)+Assumptions!$C$18*Assumptions!$C$17</f>
        <v>24990</v>
      </c>
      <c r="F7" s="14" t="n">
        <f aca="false">INDEX(Engine!$C$40:$Y$40,1,(Assumptions!$C$4-1)*6+5)+Assumptions!$C$18*Assumptions!$C$17</f>
        <v>25210</v>
      </c>
    </row>
    <row r="8" customFormat="false" ht="15" hidden="false" customHeight="false" outlineLevel="0" collapsed="false">
      <c r="A8" s="34" t="s">
        <v>348</v>
      </c>
      <c r="B8" s="6" t="n">
        <f aca="false">INDEX(Engine!$C$97:$Y$97,1,(Assumptions!$C$4-1)*6+1)</f>
        <v>15557.2285875831</v>
      </c>
      <c r="C8" s="6" t="n">
        <f aca="false">INDEX(Engine!$C$97:$Y$97,1,(Assumptions!$C$4-1)*6+2)</f>
        <v>13543.1997303454</v>
      </c>
      <c r="D8" s="6" t="n">
        <f aca="false">INDEX(Engine!$C$97:$Y$97,1,(Assumptions!$C$4-1)*6+3)</f>
        <v>13291.4461231907</v>
      </c>
      <c r="E8" s="6" t="n">
        <f aca="false">INDEX(Engine!$C$97:$Y$97,1,(Assumptions!$C$4-1)*6+4)</f>
        <v>14298.4605518096</v>
      </c>
      <c r="F8" s="6" t="n">
        <f aca="false">INDEX(Engine!$C$97:$Y$97,1,(Assumptions!$C$4-1)*6+5)</f>
        <v>14424.3373553869</v>
      </c>
    </row>
    <row r="9" customFormat="false" ht="15" hidden="false" customHeight="false" outlineLevel="0" collapsed="false">
      <c r="A9" s="34" t="s">
        <v>349</v>
      </c>
      <c r="B9" s="6" t="n">
        <f aca="false">INDEX(Engine!$C$98:$Y$98,1,(Assumptions!$C$4-1)*6+1)</f>
        <v>17044.8635389519</v>
      </c>
      <c r="C9" s="6" t="n">
        <f aca="false">INDEX(Engine!$C$98:$Y$98,1,(Assumptions!$C$4-1)*6+2)</f>
        <v>15030.8346817142</v>
      </c>
      <c r="D9" s="6" t="n">
        <f aca="false">INDEX(Engine!$C$98:$Y$98,1,(Assumptions!$C$4-1)*6+3)</f>
        <v>15122.3814479523</v>
      </c>
      <c r="E9" s="6" t="n">
        <f aca="false">INDEX(Engine!$C$98:$Y$98,1,(Assumptions!$C$4-1)*6+4)</f>
        <v>16129.3958765711</v>
      </c>
      <c r="F9" s="6" t="n">
        <f aca="false">INDEX(Engine!$C$98:$Y$98,1,(Assumptions!$C$4-1)*6+5)</f>
        <v>16255.2726801485</v>
      </c>
    </row>
    <row r="10" customFormat="false" ht="15" hidden="false" customHeight="false" outlineLevel="0" collapsed="false">
      <c r="A10" s="33" t="s">
        <v>233</v>
      </c>
      <c r="B10" s="13" t="n">
        <f aca="false">INDEX(Engine!$C$14:$Y$14,1,(Assumptions!$C$4-1)*6+1)</f>
        <v>0</v>
      </c>
      <c r="C10" s="13" t="n">
        <f aca="false">INDEX(Engine!$C$14:$Y$14,1,(Assumptions!$C$4-1)*6+2)</f>
        <v>2000</v>
      </c>
      <c r="D10" s="13" t="n">
        <f aca="false">INDEX(Engine!$C$14:$Y$14,1,(Assumptions!$C$4-1)*6+3)</f>
        <v>3500</v>
      </c>
      <c r="E10" s="13" t="n">
        <f aca="false">INDEX(Engine!$C$14:$Y$14,1,(Assumptions!$C$4-1)*6+4)</f>
        <v>5000</v>
      </c>
      <c r="F10" s="13" t="n">
        <f aca="false">INDEX(Engine!$C$14:$Y$14,1,(Assumptions!$C$4-1)*6+5)</f>
        <v>6500</v>
      </c>
    </row>
    <row r="11" customFormat="false" ht="15" hidden="false" customHeight="false" outlineLevel="0" collapsed="false">
      <c r="A11" s="34" t="s">
        <v>350</v>
      </c>
      <c r="B11" s="8" t="n">
        <f aca="false">IFERROR(B10/B8,0)</f>
        <v>0</v>
      </c>
      <c r="C11" s="8" t="n">
        <f aca="false">IFERROR(C10/C8,0)</f>
        <v>0.147675589212401</v>
      </c>
      <c r="D11" s="8" t="n">
        <f aca="false">IFERROR(D10/D8,0)</f>
        <v>0.263327253299643</v>
      </c>
      <c r="E11" s="8" t="n">
        <f aca="false">IFERROR(E10/E8,0)</f>
        <v>0.3496879948637</v>
      </c>
      <c r="F11" s="8" t="n">
        <f aca="false">IFERROR(F10/F8,0)</f>
        <v>0.450627286360056</v>
      </c>
    </row>
    <row r="12" customFormat="false" ht="15" hidden="false" customHeight="false" outlineLevel="0" collapsed="false">
      <c r="A12" s="33" t="s">
        <v>351</v>
      </c>
      <c r="B12" s="13" t="n">
        <f aca="false">IFERROR(B8/Assumptions!$C$20,"n/a")</f>
        <v>1555.72285875831</v>
      </c>
      <c r="C12" s="13" t="n">
        <f aca="false">IFERROR(C8/Assumptions!$C$20,"n/a")</f>
        <v>1354.31997303454</v>
      </c>
      <c r="D12" s="13" t="n">
        <f aca="false">IFERROR(D8/Assumptions!$C$20,"n/a")</f>
        <v>1329.14461231907</v>
      </c>
      <c r="E12" s="13" t="n">
        <f aca="false">IFERROR(E8/Assumptions!$C$20,"n/a")</f>
        <v>1429.84605518096</v>
      </c>
      <c r="F12" s="13" t="n">
        <f aca="false">IFERROR(F8/Assumptions!$C$20,"n/a")</f>
        <v>1442.43373553869</v>
      </c>
    </row>
    <row r="13" customFormat="false" ht="15" hidden="false" customHeight="false" outlineLevel="0" collapsed="false">
      <c r="A13" s="33" t="s">
        <v>352</v>
      </c>
      <c r="B13" s="13" t="n">
        <f aca="false">IFERROR(B12/Assumptions!$C$21,"n/a")</f>
        <v>388.930714689578</v>
      </c>
      <c r="C13" s="13" t="n">
        <f aca="false">IFERROR(C12/Assumptions!$C$21,"n/a")</f>
        <v>338.579993258636</v>
      </c>
      <c r="D13" s="13" t="n">
        <f aca="false">IFERROR(D12/Assumptions!$C$21,"n/a")</f>
        <v>332.286153079768</v>
      </c>
      <c r="E13" s="13" t="n">
        <f aca="false">IFERROR(E12/Assumptions!$C$21,"n/a")</f>
        <v>357.461513795239</v>
      </c>
      <c r="F13" s="13" t="n">
        <f aca="false">IFERROR(F12/Assumptions!$C$21,"n/a")</f>
        <v>360.608433884673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7" min="5" style="0" width="16"/>
  </cols>
  <sheetData>
    <row r="1" customFormat="false" ht="19.7" hidden="false" customHeight="false" outlineLevel="0" collapsed="false">
      <c r="A1" s="1" t="s">
        <v>353</v>
      </c>
    </row>
    <row r="2" customFormat="false" ht="15" hidden="false" customHeight="false" outlineLevel="0" collapsed="false">
      <c r="A2" s="2" t="s">
        <v>354</v>
      </c>
    </row>
    <row r="4" customFormat="false" ht="15" hidden="false" customHeight="false" outlineLevel="0" collapsed="false">
      <c r="A4" s="5" t="s">
        <v>355</v>
      </c>
      <c r="B4" s="5" t="s">
        <v>24</v>
      </c>
      <c r="C4" s="5" t="s">
        <v>25</v>
      </c>
      <c r="D4" s="5" t="s">
        <v>26</v>
      </c>
      <c r="E4" s="5" t="s">
        <v>27</v>
      </c>
    </row>
    <row r="5" customFormat="false" ht="15" hidden="false" customHeight="false" outlineLevel="0" collapsed="false">
      <c r="A5" s="0" t="s">
        <v>356</v>
      </c>
      <c r="B5" s="13" t="n">
        <f aca="false">SUM(Engine!$C$14:$G$14)</f>
        <v>7000</v>
      </c>
      <c r="C5" s="13" t="n">
        <f aca="false">SUM(Engine!$I$14:$M$14)</f>
        <v>17000</v>
      </c>
      <c r="D5" s="13" t="n">
        <f aca="false">SUM(Engine!$O$14:$S$14)</f>
        <v>30500</v>
      </c>
      <c r="E5" s="13" t="n">
        <f aca="false">SUM(Engine!$U$14:$Y$14)</f>
        <v>3552.85493827161</v>
      </c>
    </row>
    <row r="6" customFormat="false" ht="15" hidden="false" customHeight="false" outlineLevel="0" collapsed="false">
      <c r="A6" s="0" t="s">
        <v>5</v>
      </c>
      <c r="B6" s="13" t="n">
        <f aca="false">Engine!$G$14</f>
        <v>2500</v>
      </c>
      <c r="C6" s="13" t="n">
        <f aca="false">Engine!$M$14</f>
        <v>6500</v>
      </c>
      <c r="D6" s="13" t="n">
        <f aca="false">Engine!$S$14</f>
        <v>12000</v>
      </c>
      <c r="E6" s="13" t="n">
        <f aca="false">Engine!$Y$14</f>
        <v>0</v>
      </c>
    </row>
    <row r="7" customFormat="false" ht="15" hidden="false" customHeight="false" outlineLevel="0" collapsed="false">
      <c r="A7" s="0" t="s">
        <v>357</v>
      </c>
      <c r="B7" s="14" t="n">
        <f aca="false">SUM(Engine!$C$33:$G$33)</f>
        <v>94702.479338843</v>
      </c>
      <c r="C7" s="14" t="n">
        <f aca="false">SUM(Engine!$I$33:$M$33)</f>
        <v>280070.082644628</v>
      </c>
      <c r="D7" s="14" t="n">
        <f aca="false">SUM(Engine!$O$33:$S$33)</f>
        <v>590495.123966942</v>
      </c>
      <c r="E7" s="14" t="n">
        <f aca="false">SUM(Engine!$U$33:$Y$33)</f>
        <v>57679.5722375268</v>
      </c>
    </row>
    <row r="8" customFormat="false" ht="15" hidden="false" customHeight="false" outlineLevel="0" collapsed="false">
      <c r="A8" s="0" t="s">
        <v>358</v>
      </c>
      <c r="B8" s="14" t="n">
        <f aca="false">Engine!$G$35</f>
        <v>25190.5245759026</v>
      </c>
      <c r="C8" s="14" t="n">
        <f aca="false">Engine!$M$35</f>
        <v>80935.8705563602</v>
      </c>
      <c r="D8" s="14" t="n">
        <f aca="false">Engine!$S$35</f>
        <v>176827.321841795</v>
      </c>
      <c r="E8" s="14" t="n">
        <f aca="false">Engine!$Y$35</f>
        <v>0</v>
      </c>
    </row>
    <row r="9" customFormat="false" ht="15" hidden="false" customHeight="false" outlineLevel="0" collapsed="false">
      <c r="A9" s="0" t="s">
        <v>359</v>
      </c>
      <c r="B9" s="14" t="n">
        <f aca="false">Engine!$D$41</f>
        <v>-29795.8631697763</v>
      </c>
      <c r="C9" s="14" t="n">
        <f aca="false">Engine!$J$41</f>
        <v>-20174.5188033425</v>
      </c>
      <c r="D9" s="14" t="n">
        <f aca="false">Engine!$P$41</f>
        <v>-5385.0320411096</v>
      </c>
      <c r="E9" s="14" t="n">
        <f aca="false">Engine!$V$41</f>
        <v>-33103.3314342871</v>
      </c>
    </row>
    <row r="10" customFormat="false" ht="15" hidden="false" customHeight="false" outlineLevel="0" collapsed="false">
      <c r="A10" s="0" t="s">
        <v>360</v>
      </c>
      <c r="B10" s="14" t="n">
        <f aca="false">Engine!$E$41</f>
        <v>-30645.0447546644</v>
      </c>
      <c r="C10" s="14" t="n">
        <f aca="false">Engine!$K$41</f>
        <v>-17112.9079058493</v>
      </c>
      <c r="D10" s="14" t="n">
        <f aca="false">Engine!$Q$41</f>
        <v>9786.08792952638</v>
      </c>
      <c r="E10" s="14" t="n">
        <f aca="false">Engine!$W$41</f>
        <v>-30584.4469565983</v>
      </c>
    </row>
    <row r="11" customFormat="false" ht="15" hidden="false" customHeight="false" outlineLevel="0" collapsed="false">
      <c r="A11" s="0" t="s">
        <v>361</v>
      </c>
      <c r="B11" s="14" t="n">
        <f aca="false">Engine!$F$41</f>
        <v>-34024.2263395525</v>
      </c>
      <c r="C11" s="14" t="n">
        <f aca="false">Engine!$L$41</f>
        <v>-16251.2970083561</v>
      </c>
      <c r="D11" s="14" t="n">
        <f aca="false">Engine!$R$41</f>
        <v>25474.6318942896</v>
      </c>
      <c r="E11" s="14" t="n">
        <f aca="false">Engine!$X$41</f>
        <v>-28908</v>
      </c>
    </row>
    <row r="12" customFormat="false" ht="15" hidden="false" customHeight="false" outlineLevel="0" collapsed="false">
      <c r="A12" s="0" t="s">
        <v>7</v>
      </c>
      <c r="B12" s="14" t="n">
        <f aca="false">Engine!$G$41</f>
        <v>-35632.4079244407</v>
      </c>
      <c r="C12" s="14" t="n">
        <f aca="false">Engine!$M$41</f>
        <v>-13849.686110863</v>
      </c>
      <c r="D12" s="14" t="n">
        <f aca="false">Engine!$S$41</f>
        <v>42857.1758590528</v>
      </c>
      <c r="E12" s="14" t="n">
        <f aca="false">Engine!$Y$41</f>
        <v>-29172</v>
      </c>
    </row>
    <row r="13" customFormat="false" ht="15" hidden="false" customHeight="false" outlineLevel="0" collapsed="false">
      <c r="A13" s="0" t="s">
        <v>8</v>
      </c>
      <c r="B13" s="7" t="n">
        <f aca="false">SUM(Engine!$C$41:$G$41)</f>
        <v>-161231.042188434</v>
      </c>
      <c r="C13" s="7" t="n">
        <f aca="false">SUM(Engine!$I$41:$M$41)</f>
        <v>-94578.4098284109</v>
      </c>
      <c r="D13" s="7" t="n">
        <f aca="false">SUM(Engine!$O$41:$S$41)</f>
        <v>42913.8636417591</v>
      </c>
      <c r="E13" s="7" t="n">
        <f aca="false">SUM(Engine!$U$41:$Y$41)</f>
        <v>-154215.778390885</v>
      </c>
    </row>
    <row r="14" customFormat="false" ht="15" hidden="false" customHeight="false" outlineLevel="0" collapsed="false">
      <c r="A14" s="0" t="s">
        <v>9</v>
      </c>
      <c r="B14" s="14" t="n">
        <f aca="false">SUM(Engine!$C$54:$G$54)</f>
        <v>-195063.030017987</v>
      </c>
      <c r="C14" s="14" t="n">
        <f aca="false">SUM(Engine!$I$54:$M$54)</f>
        <v>-129033.999881879</v>
      </c>
      <c r="D14" s="14" t="n">
        <f aca="false">SUM(Engine!$O$54:$S$54)</f>
        <v>7252.0964730843</v>
      </c>
      <c r="E14" s="14" t="n">
        <f aca="false">SUM(Engine!$U$54:$Y$54)</f>
        <v>-188166.887751512</v>
      </c>
    </row>
    <row r="15" customFormat="false" ht="15" hidden="false" customHeight="false" outlineLevel="0" collapsed="false">
      <c r="A15" s="0" t="s">
        <v>362</v>
      </c>
      <c r="B15" s="14" t="n">
        <f aca="false">Engine!$G$88</f>
        <v>-204452.122754239</v>
      </c>
      <c r="C15" s="14" t="n">
        <f aca="false">Engine!$M$88</f>
        <v>-179160.484666021</v>
      </c>
      <c r="D15" s="14" t="n">
        <f aca="false">Engine!$S$88</f>
        <v>-94057.9138958011</v>
      </c>
      <c r="E15" s="14" t="n">
        <f aca="false">Engine!$Y$88</f>
        <v>-167818.079760748</v>
      </c>
    </row>
    <row r="16" customFormat="false" ht="15" hidden="false" customHeight="false" outlineLevel="0" collapsed="false">
      <c r="A16" s="0" t="s">
        <v>10</v>
      </c>
      <c r="B16" s="7" t="n">
        <f aca="false">MAX(0,Assumptions!$C$32-MIN(0,MIN(Engine!$C$88:$G$88)))</f>
        <v>209452.122754239</v>
      </c>
      <c r="C16" s="7" t="n">
        <f aca="false">MAX(0,Assumptions!$C$32-MIN(0,MIN(Engine!$I$88:$M$88)))</f>
        <v>184160.484666021</v>
      </c>
      <c r="D16" s="7" t="n">
        <f aca="false">MAX(0,Assumptions!$C$32-MIN(0,MIN(Engine!$O$88:$S$88)))</f>
        <v>132822.632045034</v>
      </c>
      <c r="E16" s="7" t="n">
        <f aca="false">MAX(0,Assumptions!$C$32-MIN(0,MIN(Engine!$U$88:$Y$88)))</f>
        <v>172818.079760748</v>
      </c>
    </row>
    <row r="17" customFormat="false" ht="15" hidden="false" customHeight="false" outlineLevel="0" collapsed="false">
      <c r="A17" s="0" t="s">
        <v>363</v>
      </c>
      <c r="B17" s="14" t="n">
        <f aca="false">MAX(Engine!$C$75:$G$75)</f>
        <v>178484.110583792</v>
      </c>
      <c r="C17" s="14" t="n">
        <f aca="false">MAX(Engine!$I$75:$M$75)</f>
        <v>153816.074719489</v>
      </c>
      <c r="D17" s="14" t="n">
        <f aca="false">MAX(Engine!$O$75:$S$75)</f>
        <v>94642.0875912906</v>
      </c>
      <c r="E17" s="14" t="n">
        <f aca="false">MAX(Engine!$U$75:$Y$75)</f>
        <v>141969.189121375</v>
      </c>
    </row>
    <row r="18" customFormat="false" ht="15" hidden="false" customHeight="false" outlineLevel="0" collapsed="false">
      <c r="A18" s="0" t="s">
        <v>28</v>
      </c>
      <c r="B18" s="7" t="n">
        <f aca="false">SUM(Engine!$C$92:$G$92)</f>
        <v>-131046.345774706</v>
      </c>
      <c r="C18" s="7" t="n">
        <f aca="false">SUM(Engine!$I$92:$M$92)</f>
        <v>-120972.968353857</v>
      </c>
      <c r="D18" s="7" t="n">
        <f aca="false">SUM(Engine!$O$92:$S$92)</f>
        <v>10753.6309102544</v>
      </c>
      <c r="E18" s="7" t="n">
        <f aca="false">SUM(Engine!$U$92:$Y$92)</f>
        <v>-116080.998415962</v>
      </c>
    </row>
    <row r="19" customFormat="false" ht="15" hidden="false" customHeight="false" outlineLevel="0" collapsed="false">
      <c r="A19" s="0" t="s">
        <v>14</v>
      </c>
      <c r="B19" s="8" t="str">
        <f aca="false">IFERROR(IRR(Engine!$C$90:$G$90),"n/c")</f>
        <v>n/c</v>
      </c>
      <c r="C19" s="8" t="str">
        <f aca="false">IFERROR(IRR(Engine!$I$90:$M$90),"n/c")</f>
        <v>n/c</v>
      </c>
      <c r="D19" s="8" t="n">
        <f aca="false">IFERROR(IRR(Engine!$O$90:$S$90),"n/c")</f>
        <v>0.216403471809619</v>
      </c>
      <c r="E19" s="8" t="str">
        <f aca="false">IFERROR(IRR(Engine!$U$90:$Y$90),"n/c")</f>
        <v>n/c</v>
      </c>
    </row>
    <row r="20" customFormat="false" ht="15" hidden="false" customHeight="false" outlineLevel="0" collapsed="false">
      <c r="A20" s="0" t="s">
        <v>29</v>
      </c>
      <c r="B20" s="16" t="str">
        <f aca="false">IFERROR(1/(1/MIN(Engine!$C$93:$G$93)),"&gt; 2031")</f>
        <v>&gt; 2031</v>
      </c>
      <c r="C20" s="16" t="str">
        <f aca="false">IFERROR(1/(1/MIN(Engine!$I$93:$M$93)),"&gt; 2031")</f>
        <v>&gt; 2031</v>
      </c>
      <c r="D20" s="16" t="str">
        <f aca="false">IFERROR(1/(1/MIN(Engine!$O$93:$S$93)),"&gt; 2031")</f>
        <v>&gt; 2031</v>
      </c>
      <c r="E20" s="16" t="str">
        <f aca="false">IFERROR(1/(1/MIN(Engine!$U$93:$Y$93)),"&gt; 2031")</f>
        <v>&gt; 2031</v>
      </c>
    </row>
    <row r="21" customFormat="false" ht="15" hidden="false" customHeight="false" outlineLevel="0" collapsed="false">
      <c r="A21" s="0" t="s">
        <v>30</v>
      </c>
      <c r="B21" s="13" t="str">
        <f aca="false">Engine!$F$97</f>
        <v>n/a</v>
      </c>
      <c r="C21" s="13" t="n">
        <f aca="false">Engine!$L$97</f>
        <v>14298.4605518096</v>
      </c>
      <c r="D21" s="13" t="n">
        <f aca="false">Engine!$R$97</f>
        <v>4663.78024670237</v>
      </c>
      <c r="E21" s="13" t="str">
        <f aca="false">Engine!$X$97</f>
        <v>n/a</v>
      </c>
    </row>
    <row r="22" customFormat="false" ht="15" hidden="false" customHeight="false" outlineLevel="0" collapsed="false">
      <c r="A22" s="0" t="s">
        <v>17</v>
      </c>
      <c r="B22" s="32" t="n">
        <f aca="false">Engine!$F$26</f>
        <v>-2.71036316977627</v>
      </c>
      <c r="C22" s="32" t="n">
        <f aca="false">Engine!$L$26</f>
        <v>1.74774059832877</v>
      </c>
      <c r="D22" s="32" t="n">
        <f aca="false">Engine!$R$26</f>
        <v>5.8748479882544</v>
      </c>
      <c r="E22" s="32" t="n">
        <f aca="false">Engine!$X$26</f>
        <v>-2.43966571714352</v>
      </c>
    </row>
    <row r="23" customFormat="false" ht="15" hidden="false" customHeight="false" outlineLevel="0" collapsed="false">
      <c r="A23" s="0" t="s">
        <v>364</v>
      </c>
      <c r="B23" s="15" t="n">
        <f aca="false">Engine!$G$96</f>
        <v>-0.98418761580579</v>
      </c>
      <c r="C23" s="15" t="n">
        <f aca="false">Engine!$M$96</f>
        <v>-0.182940829898762</v>
      </c>
      <c r="D23" s="15" t="n">
        <f aca="false">Engine!$S$96</f>
        <v>0.252022299169787</v>
      </c>
      <c r="E23" s="15" t="str">
        <f aca="false">Engine!$Y$96</f>
        <v>n/a</v>
      </c>
    </row>
    <row r="24" customFormat="false" ht="15" hidden="false" customHeight="false" outlineLevel="0" collapsed="false">
      <c r="A24" s="0" t="s">
        <v>365</v>
      </c>
      <c r="B24" s="36" t="n">
        <f aca="false">SUMPRODUCT(ABS(Engine!$C$84:$G$84))</f>
        <v>0</v>
      </c>
      <c r="C24" s="36" t="n">
        <f aca="false">SUMPRODUCT(ABS(Engine!$I$84:$M$84))</f>
        <v>0</v>
      </c>
      <c r="D24" s="36" t="n">
        <f aca="false">SUMPRODUCT(ABS(Engine!$O$84:$S$84))</f>
        <v>0</v>
      </c>
      <c r="E24" s="36" t="n">
        <f aca="false">SUMPRODUCT(ABS(Engine!$U$84:$Y$84))</f>
        <v>0</v>
      </c>
    </row>
    <row r="27" customFormat="false" ht="15" hidden="false" customHeight="false" outlineLevel="0" collapsed="false">
      <c r="A27" s="23" t="s">
        <v>366</v>
      </c>
      <c r="B27" s="24"/>
      <c r="C27" s="24"/>
      <c r="D27" s="24"/>
      <c r="E27" s="24"/>
      <c r="F27" s="24"/>
    </row>
    <row r="28" customFormat="false" ht="15" hidden="false" customHeight="false" outlineLevel="0" collapsed="false">
      <c r="A28" s="3" t="s">
        <v>367</v>
      </c>
      <c r="B28" s="27" t="n">
        <v>0.25</v>
      </c>
    </row>
    <row r="29" customFormat="false" ht="15" hidden="false" customHeight="false" outlineLevel="0" collapsed="false">
      <c r="A29" s="5" t="s">
        <v>368</v>
      </c>
      <c r="B29" s="5" t="s">
        <v>24</v>
      </c>
      <c r="C29" s="5" t="s">
        <v>25</v>
      </c>
      <c r="D29" s="5" t="s">
        <v>26</v>
      </c>
      <c r="E29" s="5" t="s">
        <v>27</v>
      </c>
    </row>
    <row r="30" customFormat="false" ht="15" hidden="false" customHeight="false" outlineLevel="0" collapsed="false">
      <c r="A30" s="26" t="n">
        <v>15000</v>
      </c>
      <c r="B30" s="3" t="str">
        <f aca="false">IF($A30&gt;=B$16*(1+$B$28),"Viable",IF($A30&gt;=B$16,"Ajustado","Insuficiente"))</f>
        <v>Insuficiente</v>
      </c>
      <c r="C30" s="3" t="str">
        <f aca="false">IF($A30&gt;=C$16*(1+$B$28),"Viable",IF($A30&gt;=C$16,"Ajustado","Insuficiente"))</f>
        <v>Insuficiente</v>
      </c>
      <c r="D30" s="3" t="str">
        <f aca="false">IF($A30&gt;=D$16*(1+$B$28),"Viable",IF($A30&gt;=D$16,"Ajustado","Insuficiente"))</f>
        <v>Insuficiente</v>
      </c>
      <c r="E30" s="3" t="str">
        <f aca="false">IF($A30&gt;=E$16*(1+$B$28),"Viable",IF($A30&gt;=E$16,"Ajustado","Insuficiente"))</f>
        <v>Insuficiente</v>
      </c>
    </row>
    <row r="31" customFormat="false" ht="15" hidden="false" customHeight="false" outlineLevel="0" collapsed="false">
      <c r="A31" s="26" t="n">
        <v>30000</v>
      </c>
      <c r="B31" s="3" t="str">
        <f aca="false">IF($A31&gt;=B$16*(1+$B$28),"Viable",IF($A31&gt;=B$16,"Ajustado","Insuficiente"))</f>
        <v>Insuficiente</v>
      </c>
      <c r="C31" s="3" t="str">
        <f aca="false">IF($A31&gt;=C$16*(1+$B$28),"Viable",IF($A31&gt;=C$16,"Ajustado","Insuficiente"))</f>
        <v>Insuficiente</v>
      </c>
      <c r="D31" s="3" t="str">
        <f aca="false">IF($A31&gt;=D$16*(1+$B$28),"Viable",IF($A31&gt;=D$16,"Ajustado","Insuficiente"))</f>
        <v>Insuficiente</v>
      </c>
      <c r="E31" s="3" t="str">
        <f aca="false">IF($A31&gt;=E$16*(1+$B$28),"Viable",IF($A31&gt;=E$16,"Ajustado","Insuficiente"))</f>
        <v>Insuficiente</v>
      </c>
    </row>
    <row r="32" customFormat="false" ht="15" hidden="false" customHeight="false" outlineLevel="0" collapsed="false">
      <c r="A32" s="26" t="n">
        <v>50000</v>
      </c>
      <c r="B32" s="3" t="str">
        <f aca="false">IF($A32&gt;=B$16*(1+$B$28),"Viable",IF($A32&gt;=B$16,"Ajustado","Insuficiente"))</f>
        <v>Insuficiente</v>
      </c>
      <c r="C32" s="3" t="str">
        <f aca="false">IF($A32&gt;=C$16*(1+$B$28),"Viable",IF($A32&gt;=C$16,"Ajustado","Insuficiente"))</f>
        <v>Insuficiente</v>
      </c>
      <c r="D32" s="3" t="str">
        <f aca="false">IF($A32&gt;=D$16*(1+$B$28),"Viable",IF($A32&gt;=D$16,"Ajustado","Insuficiente"))</f>
        <v>Insuficiente</v>
      </c>
      <c r="E32" s="3" t="str">
        <f aca="false">IF($A32&gt;=E$16*(1+$B$28),"Viable",IF($A32&gt;=E$16,"Ajustado","Insuficiente"))</f>
        <v>Insuficiente</v>
      </c>
    </row>
    <row r="33" customFormat="false" ht="15" hidden="false" customHeight="false" outlineLevel="0" collapsed="false">
      <c r="A33" s="26" t="n">
        <v>75000</v>
      </c>
      <c r="B33" s="3" t="str">
        <f aca="false">IF($A33&gt;=B$16*(1+$B$28),"Viable",IF($A33&gt;=B$16,"Ajustado","Insuficiente"))</f>
        <v>Insuficiente</v>
      </c>
      <c r="C33" s="3" t="str">
        <f aca="false">IF($A33&gt;=C$16*(1+$B$28),"Viable",IF($A33&gt;=C$16,"Ajustado","Insuficiente"))</f>
        <v>Insuficiente</v>
      </c>
      <c r="D33" s="3" t="str">
        <f aca="false">IF($A33&gt;=D$16*(1+$B$28),"Viable",IF($A33&gt;=D$16,"Ajustado","Insuficiente"))</f>
        <v>Insuficiente</v>
      </c>
      <c r="E33" s="3" t="str">
        <f aca="false">IF($A33&gt;=E$16*(1+$B$28),"Viable",IF($A33&gt;=E$16,"Ajustado","Insuficiente"))</f>
        <v>Insuficiente</v>
      </c>
    </row>
    <row r="34" customFormat="false" ht="15" hidden="false" customHeight="false" outlineLevel="0" collapsed="false">
      <c r="A34" s="26" t="n">
        <v>100000</v>
      </c>
      <c r="B34" s="3" t="str">
        <f aca="false">IF($A34&gt;=B$16*(1+$B$28),"Viable",IF($A34&gt;=B$16,"Ajustado","Insuficiente"))</f>
        <v>Insuficiente</v>
      </c>
      <c r="C34" s="3" t="str">
        <f aca="false">IF($A34&gt;=C$16*(1+$B$28),"Viable",IF($A34&gt;=C$16,"Ajustado","Insuficiente"))</f>
        <v>Insuficiente</v>
      </c>
      <c r="D34" s="3" t="str">
        <f aca="false">IF($A34&gt;=D$16*(1+$B$28),"Viable",IF($A34&gt;=D$16,"Ajustado","Insuficiente"))</f>
        <v>Insuficiente</v>
      </c>
      <c r="E34" s="3" t="str">
        <f aca="false">IF($A34&gt;=E$16*(1+$B$28),"Viable",IF($A34&gt;=E$16,"Ajustado","Insuficiente"))</f>
        <v>Insuficiente</v>
      </c>
    </row>
    <row r="36" customFormat="false" ht="15" hidden="false" customHeight="false" outlineLevel="0" collapsed="false">
      <c r="A36" s="23" t="s">
        <v>369</v>
      </c>
      <c r="B36" s="24"/>
      <c r="C36" s="24"/>
      <c r="D36" s="24"/>
      <c r="E36" s="24"/>
      <c r="F36" s="24"/>
      <c r="G36" s="24"/>
      <c r="H36" s="24"/>
    </row>
    <row r="37" customFormat="false" ht="28.35" hidden="false" customHeight="false" outlineLevel="0" collapsed="false">
      <c r="A37" s="5" t="s">
        <v>370</v>
      </c>
      <c r="B37" s="5" t="s">
        <v>371</v>
      </c>
      <c r="C37" s="5" t="s">
        <v>372</v>
      </c>
      <c r="D37" s="5" t="s">
        <v>373</v>
      </c>
      <c r="E37" s="5" t="s">
        <v>374</v>
      </c>
      <c r="F37" s="5" t="s">
        <v>375</v>
      </c>
      <c r="G37" s="5" t="s">
        <v>376</v>
      </c>
    </row>
    <row r="38" customFormat="false" ht="15" hidden="false" customHeight="false" outlineLevel="0" collapsed="false">
      <c r="A38" s="30" t="n">
        <v>1000</v>
      </c>
      <c r="B38" s="14" t="n">
        <f aca="false">A38*(INDEX(Engine!$C$20:$Y$20,1,(Assumptions!$C$4-1)*6+2)+INDEX(Engine!$C$21:$Y$21,1,(Assumptions!$C$4-1)*6+2)+Assumptions!$G$42)</f>
        <v>7117.39130434783</v>
      </c>
      <c r="C38" s="14" t="n">
        <f aca="false">A38*INDEX(Engine!$C$24:$Y$24,1,(Assumptions!$C$4-1)*6+2)+Assumptions!$C$17</f>
        <v>10539.2176086957</v>
      </c>
      <c r="D38" s="14" t="n">
        <f aca="false">A38*INDEX(Engine!$C$25:$Y$25,1,(Assumptions!$C$4-1)*6+2)*Assumptions!$C$26</f>
        <v>3792</v>
      </c>
      <c r="E38" s="7" t="n">
        <f aca="false">C38+D38</f>
        <v>14331.2176086957</v>
      </c>
      <c r="F38" s="37" t="n">
        <f aca="false">IFERROR(A38/(INDEX(Engine!$C$8:$Y$8,1,(Assumptions!$C$4-1)*6+3)/12),"n/a")</f>
        <v>3.42857142857143</v>
      </c>
      <c r="G38" s="3" t="str">
        <f aca="false">IF(F38="n/a","n/a",IF(F38&gt;24,"Alto",IF(F38&gt;12,"Medio","Bajo")))</f>
        <v>Bajo</v>
      </c>
    </row>
    <row r="39" customFormat="false" ht="15" hidden="false" customHeight="false" outlineLevel="0" collapsed="false">
      <c r="A39" s="30" t="n">
        <v>3000</v>
      </c>
      <c r="B39" s="14" t="n">
        <f aca="false">A39*(INDEX(Engine!$C$20:$Y$20,1,(Assumptions!$C$4-1)*6+2)+INDEX(Engine!$C$21:$Y$21,1,(Assumptions!$C$4-1)*6+2)+Assumptions!$G$42)</f>
        <v>21352.1739130435</v>
      </c>
      <c r="C39" s="14" t="n">
        <f aca="false">A39*INDEX(Engine!$C$24:$Y$24,1,(Assumptions!$C$4-1)*6+2)+Assumptions!$C$17</f>
        <v>30717.652826087</v>
      </c>
      <c r="D39" s="14" t="n">
        <f aca="false">A39*INDEX(Engine!$C$25:$Y$25,1,(Assumptions!$C$4-1)*6+2)*Assumptions!$C$26</f>
        <v>11376</v>
      </c>
      <c r="E39" s="7" t="n">
        <f aca="false">C39+D39</f>
        <v>42093.652826087</v>
      </c>
      <c r="F39" s="37" t="n">
        <f aca="false">IFERROR(A39/(INDEX(Engine!$C$8:$Y$8,1,(Assumptions!$C$4-1)*6+3)/12),"n/a")</f>
        <v>10.2857142857143</v>
      </c>
      <c r="G39" s="3" t="str">
        <f aca="false">IF(F39="n/a","n/a",IF(F39&gt;24,"Alto",IF(F39&gt;12,"Medio","Bajo")))</f>
        <v>Bajo</v>
      </c>
    </row>
    <row r="40" customFormat="false" ht="15" hidden="false" customHeight="false" outlineLevel="0" collapsed="false">
      <c r="A40" s="30" t="n">
        <v>5000</v>
      </c>
      <c r="B40" s="14" t="n">
        <f aca="false">A40*(INDEX(Engine!$C$20:$Y$20,1,(Assumptions!$C$4-1)*6+2)+INDEX(Engine!$C$21:$Y$21,1,(Assumptions!$C$4-1)*6+2)+Assumptions!$G$42)</f>
        <v>35586.9565217391</v>
      </c>
      <c r="C40" s="14" t="n">
        <f aca="false">A40*INDEX(Engine!$C$24:$Y$24,1,(Assumptions!$C$4-1)*6+2)+Assumptions!$C$17</f>
        <v>50896.0880434783</v>
      </c>
      <c r="D40" s="14" t="n">
        <f aca="false">A40*INDEX(Engine!$C$25:$Y$25,1,(Assumptions!$C$4-1)*6+2)*Assumptions!$C$26</f>
        <v>18960</v>
      </c>
      <c r="E40" s="7" t="n">
        <f aca="false">C40+D40</f>
        <v>69856.0880434783</v>
      </c>
      <c r="F40" s="37" t="n">
        <f aca="false">IFERROR(A40/(INDEX(Engine!$C$8:$Y$8,1,(Assumptions!$C$4-1)*6+3)/12),"n/a")</f>
        <v>17.1428571428571</v>
      </c>
      <c r="G40" s="3" t="str">
        <f aca="false">IF(F40="n/a","n/a",IF(F40&gt;24,"Alto",IF(F40&gt;12,"Medio","Bajo")))</f>
        <v>Medio</v>
      </c>
    </row>
    <row r="41" customFormat="false" ht="15" hidden="false" customHeight="false" outlineLevel="0" collapsed="false">
      <c r="A41" s="30" t="n">
        <v>10000</v>
      </c>
      <c r="B41" s="14" t="n">
        <f aca="false">A41*(INDEX(Engine!$C$20:$Y$20,1,(Assumptions!$C$4-1)*6+2)+INDEX(Engine!$C$21:$Y$21,1,(Assumptions!$C$4-1)*6+2)+Assumptions!$G$42)</f>
        <v>71173.9130434783</v>
      </c>
      <c r="C41" s="14" t="n">
        <f aca="false">A41*INDEX(Engine!$C$24:$Y$24,1,(Assumptions!$C$4-1)*6+2)+Assumptions!$C$17</f>
        <v>101342.176086957</v>
      </c>
      <c r="D41" s="14" t="n">
        <f aca="false">A41*INDEX(Engine!$C$25:$Y$25,1,(Assumptions!$C$4-1)*6+2)*Assumptions!$C$26</f>
        <v>37920</v>
      </c>
      <c r="E41" s="7" t="n">
        <f aca="false">C41+D41</f>
        <v>139262.176086957</v>
      </c>
      <c r="F41" s="37" t="n">
        <f aca="false">IFERROR(A41/(INDEX(Engine!$C$8:$Y$8,1,(Assumptions!$C$4-1)*6+3)/12),"n/a")</f>
        <v>34.2857142857143</v>
      </c>
      <c r="G41" s="3" t="str">
        <f aca="false">IF(F41="n/a","n/a",IF(F41&gt;24,"Alto",IF(F41&gt;12,"Medio","Bajo")))</f>
        <v>Alto</v>
      </c>
    </row>
    <row r="42" customFormat="false" ht="15" hidden="false" customHeight="false" outlineLevel="0" collapsed="false">
      <c r="A42" s="30" t="n">
        <v>20000</v>
      </c>
      <c r="B42" s="14" t="n">
        <f aca="false">A42*(INDEX(Engine!$C$20:$Y$20,1,(Assumptions!$C$4-1)*6+2)+INDEX(Engine!$C$21:$Y$21,1,(Assumptions!$C$4-1)*6+2)+Assumptions!$G$42)</f>
        <v>142347.826086957</v>
      </c>
      <c r="C42" s="14" t="n">
        <f aca="false">A42*INDEX(Engine!$C$24:$Y$24,1,(Assumptions!$C$4-1)*6+2)+Assumptions!$C$17</f>
        <v>202234.352173913</v>
      </c>
      <c r="D42" s="14" t="n">
        <f aca="false">A42*INDEX(Engine!$C$25:$Y$25,1,(Assumptions!$C$4-1)*6+2)*Assumptions!$C$26</f>
        <v>75840</v>
      </c>
      <c r="E42" s="7" t="n">
        <f aca="false">C42+D42</f>
        <v>278074.352173913</v>
      </c>
      <c r="F42" s="37" t="n">
        <f aca="false">IFERROR(A42/(INDEX(Engine!$C$8:$Y$8,1,(Assumptions!$C$4-1)*6+3)/12),"n/a")</f>
        <v>68.5714285714286</v>
      </c>
      <c r="G42" s="3" t="str">
        <f aca="false">IF(F42="n/a","n/a",IF(F42&gt;24,"Alto",IF(F42&gt;12,"Medio","Bajo")))</f>
        <v>Alto</v>
      </c>
    </row>
  </sheetData>
  <conditionalFormatting sqref="B30:B34">
    <cfRule type="cellIs" priority="2" operator="equal" aboveAverage="0" equalAverage="0" bottom="0" percent="0" rank="0" text="" dxfId="0">
      <formula>"Insuficiente"</formula>
    </cfRule>
    <cfRule type="cellIs" priority="3" operator="equal" aboveAverage="0" equalAverage="0" bottom="0" percent="0" rank="0" text="" dxfId="1">
      <formula>"Viable"</formula>
    </cfRule>
  </conditionalFormatting>
  <conditionalFormatting sqref="C30:C34">
    <cfRule type="cellIs" priority="4" operator="equal" aboveAverage="0" equalAverage="0" bottom="0" percent="0" rank="0" text="" dxfId="0">
      <formula>"Insuficiente"</formula>
    </cfRule>
    <cfRule type="cellIs" priority="5" operator="equal" aboveAverage="0" equalAverage="0" bottom="0" percent="0" rank="0" text="" dxfId="1">
      <formula>"Viable"</formula>
    </cfRule>
  </conditionalFormatting>
  <conditionalFormatting sqref="D30:D34">
    <cfRule type="cellIs" priority="6" operator="equal" aboveAverage="0" equalAverage="0" bottom="0" percent="0" rank="0" text="" dxfId="0">
      <formula>"Insuficiente"</formula>
    </cfRule>
    <cfRule type="cellIs" priority="7" operator="equal" aboveAverage="0" equalAverage="0" bottom="0" percent="0" rank="0" text="" dxfId="1">
      <formula>"Viable"</formula>
    </cfRule>
  </conditionalFormatting>
  <conditionalFormatting sqref="E30:E34">
    <cfRule type="cellIs" priority="8" operator="equal" aboveAverage="0" equalAverage="0" bottom="0" percent="0" rank="0" text="" dxfId="0">
      <formula>"Insuficiente"</formula>
    </cfRule>
    <cfRule type="cellIs" priority="9" operator="equal" aboveAverage="0" equalAverage="0" bottom="0" percent="0" rank="0" text="" dxfId="1">
      <formula>"Viable"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6"/>
    <col collapsed="false" customWidth="true" hidden="false" outlineLevel="0" max="8" min="7" style="0" width="14"/>
  </cols>
  <sheetData>
    <row r="1" customFormat="false" ht="19.7" hidden="false" customHeight="false" outlineLevel="0" collapsed="false">
      <c r="A1" s="1" t="s">
        <v>377</v>
      </c>
    </row>
    <row r="2" customFormat="false" ht="15" hidden="false" customHeight="false" outlineLevel="0" collapsed="false">
      <c r="A2" s="2" t="s">
        <v>378</v>
      </c>
    </row>
    <row r="4" customFormat="false" ht="15" hidden="false" customHeight="false" outlineLevel="0" collapsed="false">
      <c r="A4" s="3" t="s">
        <v>379</v>
      </c>
      <c r="B4" s="13" t="n">
        <f aca="false">INDEX(Engine!$C$14:$Y$14,1,(Assumptions!$C$4-1)*6+4)</f>
        <v>5000</v>
      </c>
    </row>
    <row r="5" customFormat="false" ht="15" hidden="false" customHeight="false" outlineLevel="0" collapsed="false">
      <c r="A5" s="3" t="s">
        <v>380</v>
      </c>
      <c r="B5" s="32" t="n">
        <f aca="false">INDEX(Engine!$C$19:$Y$19,1,(Assumptions!$C$4-1)*6+4)</f>
        <v>24</v>
      </c>
    </row>
    <row r="6" customFormat="false" ht="15" hidden="false" customHeight="false" outlineLevel="0" collapsed="false">
      <c r="A6" s="3" t="s">
        <v>381</v>
      </c>
      <c r="B6" s="36" t="n">
        <f aca="false">Assumptions!$G$40</f>
        <v>6</v>
      </c>
    </row>
    <row r="7" customFormat="false" ht="15" hidden="false" customHeight="false" outlineLevel="0" collapsed="false">
      <c r="A7" s="3" t="s">
        <v>382</v>
      </c>
      <c r="B7" s="36" t="n">
        <f aca="false">Assumptions!$C$19</f>
        <v>1.15</v>
      </c>
    </row>
    <row r="8" customFormat="false" ht="15" hidden="false" customHeight="false" outlineLevel="0" collapsed="false">
      <c r="A8" s="3" t="s">
        <v>383</v>
      </c>
      <c r="B8" s="15" t="n">
        <f aca="false">Assumptions!$G$45</f>
        <v>0.05</v>
      </c>
    </row>
    <row r="9" customFormat="false" ht="15" hidden="false" customHeight="false" outlineLevel="0" collapsed="false">
      <c r="A9" s="3" t="s">
        <v>384</v>
      </c>
      <c r="B9" s="15" t="n">
        <f aca="false">Assumptions!$G$46</f>
        <v>0.03</v>
      </c>
    </row>
    <row r="10" customFormat="false" ht="15" hidden="false" customHeight="false" outlineLevel="0" collapsed="false">
      <c r="A10" s="3" t="s">
        <v>385</v>
      </c>
      <c r="B10" s="32" t="n">
        <f aca="false">INDEX(Engine!$C$24:$Y$24,1,(Assumptions!$C$4-1)*6+4)-INDEX(Engine!$C$20:$Y$20,1,(Assumptions!$C$4-1)*6+4)*(1+Assumptions!$C$15)*(1+Assumptions!$C$14)</f>
        <v>3.482435</v>
      </c>
    </row>
    <row r="11" customFormat="false" ht="15" hidden="false" customHeight="false" outlineLevel="0" collapsed="false">
      <c r="A11" s="3" t="s">
        <v>386</v>
      </c>
      <c r="B11" s="14" t="n">
        <f aca="false">INDEX(Engine!$C$40:$Y$40,1,(Assumptions!$C$4-1)*6+4)+INDEX(Engine!$C$37:$Y$37,1,(Assumptions!$C$4-1)*6+4)</f>
        <v>24990</v>
      </c>
    </row>
    <row r="12" customFormat="false" ht="15" hidden="false" customHeight="false" outlineLevel="0" collapsed="false">
      <c r="A12" s="3" t="s">
        <v>387</v>
      </c>
      <c r="B12" s="7" t="n">
        <f aca="false">INDEX(Engine!$C$41:$Y$41,1,(Assumptions!$C$4-1)*6+4)</f>
        <v>-16251.2970083561</v>
      </c>
    </row>
    <row r="13" customFormat="false" ht="15" hidden="false" customHeight="false" outlineLevel="0" collapsed="false">
      <c r="A13" s="3" t="s">
        <v>388</v>
      </c>
      <c r="B13" s="7" t="n">
        <f aca="false">$B$4*(($B$5/(1+Assumptions!$C$10)-$B$5*(Assumptions!$C$13+$B$8))*(1-Assumptions!$C$28)-(1/(1-$B$9)+Assumptions!$G$47)*(MAX(Assumptions!$C$11*$B$5,Assumptions!$C$12/1000)+($B$6/$B$7*(1+Assumptions!$C$15)*(1+Assumptions!$C$14)+$B$10)))-$B$11</f>
        <v>-16251.2970083561</v>
      </c>
      <c r="C13" s="13" t="n">
        <f aca="false">ROUND(B13-B12,0)</f>
        <v>0</v>
      </c>
      <c r="D13" s="17" t="s">
        <v>389</v>
      </c>
    </row>
    <row r="15" customFormat="false" ht="15" hidden="false" customHeight="false" outlineLevel="0" collapsed="false">
      <c r="A15" s="23" t="s">
        <v>390</v>
      </c>
      <c r="B15" s="24"/>
      <c r="C15" s="24"/>
      <c r="D15" s="24"/>
      <c r="E15" s="24"/>
      <c r="F15" s="24"/>
    </row>
    <row r="16" customFormat="false" ht="28.35" hidden="false" customHeight="false" outlineLevel="0" collapsed="false">
      <c r="A16" s="5" t="s">
        <v>391</v>
      </c>
      <c r="B16" s="5" t="s">
        <v>392</v>
      </c>
      <c r="C16" s="5" t="s">
        <v>393</v>
      </c>
      <c r="D16" s="5" t="s">
        <v>394</v>
      </c>
      <c r="E16" s="5" t="s">
        <v>395</v>
      </c>
      <c r="F16" s="5" t="s">
        <v>396</v>
      </c>
    </row>
    <row r="17" customFormat="false" ht="15" hidden="false" customHeight="false" outlineLevel="0" collapsed="false">
      <c r="A17" s="3" t="s">
        <v>397</v>
      </c>
      <c r="B17" s="27" t="n">
        <v>-0.2</v>
      </c>
      <c r="C17" s="27" t="n">
        <v>0.2</v>
      </c>
      <c r="D17" s="14" t="n">
        <f aca="false">($B$4*(1+$B17))*(($B$5/(1+Assumptions!$C$10)-$B$5*(Assumptions!$C$13+$B$8))*(1-Assumptions!$C$28)-(1/(1-$B$9)+Assumptions!$G$47)*(MAX(Assumptions!$C$11*$B$5,Assumptions!$C$12/1000)+($B$6/$B$7*(1+Assumptions!$C$15)*(1+Assumptions!$C$14)+$B$10)))-$B$11</f>
        <v>-17999.0376066849</v>
      </c>
      <c r="E17" s="14" t="n">
        <f aca="false">($B$4*(1+$C17))*(($B$5/(1+Assumptions!$C$10)-$B$5*(Assumptions!$C$13+$B$8))*(1-Assumptions!$C$28)-(1/(1-$B$9)+Assumptions!$G$47)*(MAX(Assumptions!$C$11*$B$5,Assumptions!$C$12/1000)+($B$6/$B$7*(1+Assumptions!$C$15)*(1+Assumptions!$C$14)+$B$10)))-$B$11</f>
        <v>-14503.5564100274</v>
      </c>
      <c r="F17" s="7" t="n">
        <f aca="false">ABS(E17-D17)</f>
        <v>3495.48119665754</v>
      </c>
    </row>
    <row r="18" customFormat="false" ht="15" hidden="false" customHeight="false" outlineLevel="0" collapsed="false">
      <c r="A18" s="3" t="s">
        <v>398</v>
      </c>
      <c r="B18" s="27" t="n">
        <v>-0.1</v>
      </c>
      <c r="C18" s="27" t="n">
        <v>0.1</v>
      </c>
      <c r="D18" s="14" t="n">
        <f aca="false">$B$4*((($B$5*(1+$B18))/(1+Assumptions!$C$10)-($B$5*(1+$B18))*(Assumptions!$C$13+$B$8))*(1-Assumptions!$C$28)-(1/(1-$B$9)+Assumptions!$G$47)*(MAX(Assumptions!$C$11*($B$5*(1+$B18)),Assumptions!$C$12/1000)+($B$6/$B$7*(1+Assumptions!$C$15)*(1+Assumptions!$C$14)+$B$10)))-$B$11</f>
        <v>-22477.1332049993</v>
      </c>
      <c r="E18" s="14" t="n">
        <f aca="false">$B$4*((($B$5*(1+$C18))/(1+Assumptions!$C$10)-($B$5*(1+$C18))*(Assumptions!$C$13+$B$8))*(1-Assumptions!$C$28)-(1/(1-$B$9)+Assumptions!$G$47)*(MAX(Assumptions!$C$11*($B$5*(1+$C18)),Assumptions!$C$12/1000)+($B$6/$B$7*(1+Assumptions!$C$15)*(1+Assumptions!$C$14)+$B$10)))-$B$11</f>
        <v>-10025.4608117131</v>
      </c>
      <c r="F18" s="7" t="n">
        <f aca="false">ABS(E18-D18)</f>
        <v>12451.6723932862</v>
      </c>
    </row>
    <row r="19" customFormat="false" ht="15" hidden="false" customHeight="false" outlineLevel="0" collapsed="false">
      <c r="A19" s="3" t="s">
        <v>399</v>
      </c>
      <c r="B19" s="27" t="n">
        <v>0.2</v>
      </c>
      <c r="C19" s="27" t="n">
        <v>-0.2</v>
      </c>
      <c r="D19" s="14" t="n">
        <f aca="false">$B$4*(($B$5/(1+Assumptions!$C$10)-$B$5*(Assumptions!$C$13+$B$8))*(1-Assumptions!$C$28)-(1/(1-$B$9)+Assumptions!$G$47)*(MAX(Assumptions!$C$11*$B$5,Assumptions!$C$12/1000)+(($B$6*(1+$B19))/$B$7*(1+Assumptions!$C$15)*(1+Assumptions!$C$14)+$B$10)))-$B$11</f>
        <v>-23260.6165780558</v>
      </c>
      <c r="E19" s="14" t="n">
        <f aca="false">$B$4*(($B$5/(1+Assumptions!$C$10)-$B$5*(Assumptions!$C$13+$B$8))*(1-Assumptions!$C$28)-(1/(1-$B$9)+Assumptions!$G$47)*(MAX(Assumptions!$C$11*$B$5,Assumptions!$C$12/1000)+(($B$6*(1+$C19))/$B$7*(1+Assumptions!$C$15)*(1+Assumptions!$C$14)+$B$10)))-$B$11</f>
        <v>-9241.97743865646</v>
      </c>
      <c r="F19" s="7" t="n">
        <f aca="false">ABS(E19-D19)</f>
        <v>14018.6391393994</v>
      </c>
    </row>
    <row r="20" customFormat="false" ht="15" hidden="false" customHeight="false" outlineLevel="0" collapsed="false">
      <c r="A20" s="3" t="s">
        <v>400</v>
      </c>
      <c r="B20" s="27" t="n">
        <v>-0.1</v>
      </c>
      <c r="C20" s="27" t="n">
        <v>0.1</v>
      </c>
      <c r="D20" s="14" t="n">
        <f aca="false">$B$4*(($B$5/(1+Assumptions!$C$10)-$B$5*(Assumptions!$C$13+$B$8))*(1-Assumptions!$C$28)-(1/(1-$B$9)+Assumptions!$G$47)*(MAX(Assumptions!$C$11*$B$5,Assumptions!$C$12/1000)+($B$6/($B$7*(1+$B20))*(1+Assumptions!$C$15)*(1+Assumptions!$C$14)+$B$10)))-$B$11</f>
        <v>-20145.3634359671</v>
      </c>
      <c r="E20" s="14" t="n">
        <f aca="false">$B$4*(($B$5/(1+Assumptions!$C$10)-$B$5*(Assumptions!$C$13+$B$8))*(1-Assumptions!$C$28)-(1/(1-$B$9)+Assumptions!$G$47)*(MAX(Assumptions!$C$11*$B$5,Assumptions!$C$12/1000)+($B$6/($B$7*(1+$C20))*(1+Assumptions!$C$15)*(1+Assumptions!$C$14)+$B$10)))-$B$11</f>
        <v>-13065.2426584927</v>
      </c>
      <c r="F20" s="7" t="n">
        <f aca="false">ABS(E20-D20)</f>
        <v>7080.12077747443</v>
      </c>
    </row>
    <row r="21" customFormat="false" ht="15" hidden="false" customHeight="false" outlineLevel="0" collapsed="false">
      <c r="A21" s="3" t="s">
        <v>401</v>
      </c>
      <c r="B21" s="27" t="n">
        <v>0.02</v>
      </c>
      <c r="C21" s="27" t="n">
        <v>-0.02</v>
      </c>
      <c r="D21" s="14" t="n">
        <f aca="false">$B$4*(($B$5/(1+Assumptions!$C$10)-$B$5*(Assumptions!$C$13+($B$8+$B21)))*(1-Assumptions!$C$28)-(1/(1-$B$9)+Assumptions!$G$47)*(MAX(Assumptions!$C$11*$B$5,Assumptions!$C$12/1000)+($B$6/$B$7*(1+Assumptions!$C$15)*(1+Assumptions!$C$14)+$B$10)))-$B$11</f>
        <v>-18651.2970083561</v>
      </c>
      <c r="E21" s="14" t="n">
        <f aca="false">$B$4*(($B$5/(1+Assumptions!$C$10)-$B$5*(Assumptions!$C$13+($B$8+$C21)))*(1-Assumptions!$C$28)-(1/(1-$B$9)+Assumptions!$G$47)*(MAX(Assumptions!$C$11*$B$5,Assumptions!$C$12/1000)+($B$6/$B$7*(1+Assumptions!$C$15)*(1+Assumptions!$C$14)+$B$10)))-$B$11</f>
        <v>-13851.2970083561</v>
      </c>
      <c r="F21" s="7" t="n">
        <f aca="false">ABS(E21-D21)</f>
        <v>4800.00000000001</v>
      </c>
    </row>
    <row r="22" customFormat="false" ht="15" hidden="false" customHeight="false" outlineLevel="0" collapsed="false">
      <c r="A22" s="3" t="s">
        <v>402</v>
      </c>
      <c r="B22" s="27" t="n">
        <v>0.03</v>
      </c>
      <c r="C22" s="27" t="n">
        <v>-0.02</v>
      </c>
      <c r="D22" s="14" t="n">
        <f aca="false">$B$4*(($B$5/(1+Assumptions!$C$10)-$B$5*(Assumptions!$C$13+$B$8))*(1-Assumptions!$C$28)-(1/(1-($B$9+$B22))+Assumptions!$G$47)*(MAX(Assumptions!$C$11*$B$5,Assumptions!$C$12/1000)+($B$6/$B$7*(1+Assumptions!$C$15)*(1+Assumptions!$C$14)+$B$10)))-$B$11</f>
        <v>-18534.8927983368</v>
      </c>
      <c r="E22" s="14" t="n">
        <f aca="false">$B$4*(($B$5/(1+Assumptions!$C$10)-$B$5*(Assumptions!$C$13+$B$8))*(1-Assumptions!$C$28)-(1/(1-($B$9+$C22))+Assumptions!$G$47)*(MAX(Assumptions!$C$11*$B$5,Assumptions!$C$12/1000)+($B$6/$B$7*(1+Assumptions!$C$15)*(1+Assumptions!$C$14)+$B$10)))-$B$11</f>
        <v>-14805.7885621731</v>
      </c>
      <c r="F22" s="7" t="n">
        <f aca="false">ABS(E22-D22)</f>
        <v>3729.10423616366</v>
      </c>
    </row>
    <row r="24" customFormat="false" ht="15" hidden="false" customHeight="false" outlineLevel="0" collapsed="false">
      <c r="A24" s="23" t="s">
        <v>403</v>
      </c>
      <c r="B24" s="24"/>
      <c r="C24" s="24"/>
      <c r="D24" s="24"/>
      <c r="E24" s="24"/>
      <c r="F24" s="24"/>
      <c r="G24" s="24"/>
      <c r="H24" s="24"/>
      <c r="I24" s="24"/>
    </row>
    <row r="25" customFormat="false" ht="15" hidden="false" customHeight="false" outlineLevel="0" collapsed="false">
      <c r="A25" s="5" t="s">
        <v>404</v>
      </c>
      <c r="B25" s="5" t="s">
        <v>405</v>
      </c>
      <c r="C25" s="5" t="s">
        <v>406</v>
      </c>
      <c r="D25" s="5" t="s">
        <v>407</v>
      </c>
      <c r="E25" s="5" t="s">
        <v>408</v>
      </c>
      <c r="F25" s="5" t="s">
        <v>409</v>
      </c>
      <c r="G25" s="5" t="s">
        <v>410</v>
      </c>
      <c r="H25" s="5" t="s">
        <v>411</v>
      </c>
    </row>
    <row r="26" customFormat="false" ht="15" hidden="false" customHeight="false" outlineLevel="0" collapsed="false">
      <c r="A26" s="0" t="s">
        <v>412</v>
      </c>
      <c r="B26" s="28" t="n">
        <v>4</v>
      </c>
      <c r="C26" s="28" t="n">
        <v>5</v>
      </c>
      <c r="D26" s="28" t="n">
        <v>6</v>
      </c>
      <c r="E26" s="28" t="n">
        <v>7</v>
      </c>
      <c r="F26" s="28" t="n">
        <v>8</v>
      </c>
      <c r="G26" s="28" t="n">
        <v>9</v>
      </c>
      <c r="H26" s="28" t="n">
        <v>10</v>
      </c>
    </row>
    <row r="27" customFormat="false" ht="15" hidden="false" customHeight="false" outlineLevel="0" collapsed="false">
      <c r="A27" s="29" t="n">
        <v>12</v>
      </c>
      <c r="B27" s="14" t="n">
        <f aca="false">$B$4*(($A27/(1+Assumptions!$C$10)-$A27*(Assumptions!$C$13+$B$8))*(1-Assumptions!$C$28)-(1/(1-$B$9)+Assumptions!$G$47)*(MAX(Assumptions!$C$11*$A27,Assumptions!$C$12/1000)+(B$26/$B$7*(1+Assumptions!$C$15)*(1+Assumptions!$C$14)+$B$10)))-$B$11</f>
        <v>-35698.2787087388</v>
      </c>
      <c r="C27" s="14" t="n">
        <f aca="false">$B$4*(($A27/(1+Assumptions!$C$10)-$A27*(Assumptions!$C$13+$B$8))*(1-Assumptions!$C$28)-(1/(1-$B$9)+Assumptions!$G$47)*(MAX(Assumptions!$C$11*$A27,Assumptions!$C$12/1000)+(C$26/$B$7*(1+Assumptions!$C$15)*(1+Assumptions!$C$14)+$B$10)))-$B$11</f>
        <v>-41539.3783501552</v>
      </c>
      <c r="D27" s="14" t="n">
        <f aca="false">$B$4*(($A27/(1+Assumptions!$C$10)-$A27*(Assumptions!$C$13+$B$8))*(1-Assumptions!$C$28)-(1/(1-$B$9)+Assumptions!$G$47)*(MAX(Assumptions!$C$11*$A27,Assumptions!$C$12/1000)+(D$26/$B$7*(1+Assumptions!$C$15)*(1+Assumptions!$C$14)+$B$10)))-$B$11</f>
        <v>-47380.4779915716</v>
      </c>
      <c r="E27" s="14" t="n">
        <f aca="false">$B$4*(($A27/(1+Assumptions!$C$10)-$A27*(Assumptions!$C$13+$B$8))*(1-Assumptions!$C$28)-(1/(1-$B$9)+Assumptions!$G$47)*(MAX(Assumptions!$C$11*$A27,Assumptions!$C$12/1000)+(E$26/$B$7*(1+Assumptions!$C$15)*(1+Assumptions!$C$14)+$B$10)))-$B$11</f>
        <v>-53221.577632988</v>
      </c>
      <c r="F27" s="14" t="n">
        <f aca="false">$B$4*(($A27/(1+Assumptions!$C$10)-$A27*(Assumptions!$C$13+$B$8))*(1-Assumptions!$C$28)-(1/(1-$B$9)+Assumptions!$G$47)*(MAX(Assumptions!$C$11*$A27,Assumptions!$C$12/1000)+(F$26/$B$7*(1+Assumptions!$C$15)*(1+Assumptions!$C$14)+$B$10)))-$B$11</f>
        <v>-59062.6772744044</v>
      </c>
      <c r="G27" s="14" t="n">
        <f aca="false">$B$4*(($A27/(1+Assumptions!$C$10)-$A27*(Assumptions!$C$13+$B$8))*(1-Assumptions!$C$28)-(1/(1-$B$9)+Assumptions!$G$47)*(MAX(Assumptions!$C$11*$A27,Assumptions!$C$12/1000)+(G$26/$B$7*(1+Assumptions!$C$15)*(1+Assumptions!$C$14)+$B$10)))-$B$11</f>
        <v>-64903.7769158209</v>
      </c>
      <c r="H27" s="14" t="n">
        <f aca="false">$B$4*(($A27/(1+Assumptions!$C$10)-$A27*(Assumptions!$C$13+$B$8))*(1-Assumptions!$C$28)-(1/(1-$B$9)+Assumptions!$G$47)*(MAX(Assumptions!$C$11*$A27,Assumptions!$C$12/1000)+(H$26/$B$7*(1+Assumptions!$C$15)*(1+Assumptions!$C$14)+$B$10)))-$B$11</f>
        <v>-70744.8765572372</v>
      </c>
    </row>
    <row r="28" customFormat="false" ht="15" hidden="false" customHeight="false" outlineLevel="0" collapsed="false">
      <c r="A28" s="29" t="n">
        <v>15</v>
      </c>
      <c r="B28" s="14" t="n">
        <f aca="false">$B$4*(($A28/(1+Assumptions!$C$10)-$A28*(Assumptions!$C$13+$B$8))*(1-Assumptions!$C$28)-(1/(1-$B$9)+Assumptions!$G$47)*(MAX(Assumptions!$C$11*$A28,Assumptions!$C$12/1000)+(B$26/$B$7*(1+Assumptions!$C$15)*(1+Assumptions!$C$14)+$B$10)))-$B$11</f>
        <v>-27915.983462935</v>
      </c>
      <c r="C28" s="14" t="n">
        <f aca="false">$B$4*(($A28/(1+Assumptions!$C$10)-$A28*(Assumptions!$C$13+$B$8))*(1-Assumptions!$C$28)-(1/(1-$B$9)+Assumptions!$G$47)*(MAX(Assumptions!$C$11*$A28,Assumptions!$C$12/1000)+(C$26/$B$7*(1+Assumptions!$C$15)*(1+Assumptions!$C$14)+$B$10)))-$B$11</f>
        <v>-33757.0831043514</v>
      </c>
      <c r="D28" s="14" t="n">
        <f aca="false">$B$4*(($A28/(1+Assumptions!$C$10)-$A28*(Assumptions!$C$13+$B$8))*(1-Assumptions!$C$28)-(1/(1-$B$9)+Assumptions!$G$47)*(MAX(Assumptions!$C$11*$A28,Assumptions!$C$12/1000)+(D$26/$B$7*(1+Assumptions!$C$15)*(1+Assumptions!$C$14)+$B$10)))-$B$11</f>
        <v>-39598.1827457678</v>
      </c>
      <c r="E28" s="14" t="n">
        <f aca="false">$B$4*(($A28/(1+Assumptions!$C$10)-$A28*(Assumptions!$C$13+$B$8))*(1-Assumptions!$C$28)-(1/(1-$B$9)+Assumptions!$G$47)*(MAX(Assumptions!$C$11*$A28,Assumptions!$C$12/1000)+(E$26/$B$7*(1+Assumptions!$C$15)*(1+Assumptions!$C$14)+$B$10)))-$B$11</f>
        <v>-45439.2823871842</v>
      </c>
      <c r="F28" s="14" t="n">
        <f aca="false">$B$4*(($A28/(1+Assumptions!$C$10)-$A28*(Assumptions!$C$13+$B$8))*(1-Assumptions!$C$28)-(1/(1-$B$9)+Assumptions!$G$47)*(MAX(Assumptions!$C$11*$A28,Assumptions!$C$12/1000)+(F$26/$B$7*(1+Assumptions!$C$15)*(1+Assumptions!$C$14)+$B$10)))-$B$11</f>
        <v>-51280.3820286006</v>
      </c>
      <c r="G28" s="14" t="n">
        <f aca="false">$B$4*(($A28/(1+Assumptions!$C$10)-$A28*(Assumptions!$C$13+$B$8))*(1-Assumptions!$C$28)-(1/(1-$B$9)+Assumptions!$G$47)*(MAX(Assumptions!$C$11*$A28,Assumptions!$C$12/1000)+(G$26/$B$7*(1+Assumptions!$C$15)*(1+Assumptions!$C$14)+$B$10)))-$B$11</f>
        <v>-57121.481670017</v>
      </c>
      <c r="H28" s="14" t="n">
        <f aca="false">$B$4*(($A28/(1+Assumptions!$C$10)-$A28*(Assumptions!$C$13+$B$8))*(1-Assumptions!$C$28)-(1/(1-$B$9)+Assumptions!$G$47)*(MAX(Assumptions!$C$11*$A28,Assumptions!$C$12/1000)+(H$26/$B$7*(1+Assumptions!$C$15)*(1+Assumptions!$C$14)+$B$10)))-$B$11</f>
        <v>-62962.5813114334</v>
      </c>
    </row>
    <row r="29" customFormat="false" ht="15" hidden="false" customHeight="false" outlineLevel="0" collapsed="false">
      <c r="A29" s="29" t="n">
        <v>18</v>
      </c>
      <c r="B29" s="14" t="n">
        <f aca="false">$B$4*(($A29/(1+Assumptions!$C$10)-$A29*(Assumptions!$C$13+$B$8))*(1-Assumptions!$C$28)-(1/(1-$B$9)+Assumptions!$G$47)*(MAX(Assumptions!$C$11*$A29,Assumptions!$C$12/1000)+(B$26/$B$7*(1+Assumptions!$C$15)*(1+Assumptions!$C$14)+$B$10)))-$B$11</f>
        <v>-20133.6882171311</v>
      </c>
      <c r="C29" s="14" t="n">
        <f aca="false">$B$4*(($A29/(1+Assumptions!$C$10)-$A29*(Assumptions!$C$13+$B$8))*(1-Assumptions!$C$28)-(1/(1-$B$9)+Assumptions!$G$47)*(MAX(Assumptions!$C$11*$A29,Assumptions!$C$12/1000)+(C$26/$B$7*(1+Assumptions!$C$15)*(1+Assumptions!$C$14)+$B$10)))-$B$11</f>
        <v>-25974.7878585475</v>
      </c>
      <c r="D29" s="14" t="n">
        <f aca="false">$B$4*(($A29/(1+Assumptions!$C$10)-$A29*(Assumptions!$C$13+$B$8))*(1-Assumptions!$C$28)-(1/(1-$B$9)+Assumptions!$G$47)*(MAX(Assumptions!$C$11*$A29,Assumptions!$C$12/1000)+(D$26/$B$7*(1+Assumptions!$C$15)*(1+Assumptions!$C$14)+$B$10)))-$B$11</f>
        <v>-31815.8874999639</v>
      </c>
      <c r="E29" s="14" t="n">
        <f aca="false">$B$4*(($A29/(1+Assumptions!$C$10)-$A29*(Assumptions!$C$13+$B$8))*(1-Assumptions!$C$28)-(1/(1-$B$9)+Assumptions!$G$47)*(MAX(Assumptions!$C$11*$A29,Assumptions!$C$12/1000)+(E$26/$B$7*(1+Assumptions!$C$15)*(1+Assumptions!$C$14)+$B$10)))-$B$11</f>
        <v>-37656.9871413803</v>
      </c>
      <c r="F29" s="14" t="n">
        <f aca="false">$B$4*(($A29/(1+Assumptions!$C$10)-$A29*(Assumptions!$C$13+$B$8))*(1-Assumptions!$C$28)-(1/(1-$B$9)+Assumptions!$G$47)*(MAX(Assumptions!$C$11*$A29,Assumptions!$C$12/1000)+(F$26/$B$7*(1+Assumptions!$C$15)*(1+Assumptions!$C$14)+$B$10)))-$B$11</f>
        <v>-43498.0867827967</v>
      </c>
      <c r="G29" s="14" t="n">
        <f aca="false">$B$4*(($A29/(1+Assumptions!$C$10)-$A29*(Assumptions!$C$13+$B$8))*(1-Assumptions!$C$28)-(1/(1-$B$9)+Assumptions!$G$47)*(MAX(Assumptions!$C$11*$A29,Assumptions!$C$12/1000)+(G$26/$B$7*(1+Assumptions!$C$15)*(1+Assumptions!$C$14)+$B$10)))-$B$11</f>
        <v>-49339.1864242131</v>
      </c>
      <c r="H29" s="14" t="n">
        <f aca="false">$B$4*(($A29/(1+Assumptions!$C$10)-$A29*(Assumptions!$C$13+$B$8))*(1-Assumptions!$C$28)-(1/(1-$B$9)+Assumptions!$G$47)*(MAX(Assumptions!$C$11*$A29,Assumptions!$C$12/1000)+(H$26/$B$7*(1+Assumptions!$C$15)*(1+Assumptions!$C$14)+$B$10)))-$B$11</f>
        <v>-55180.2860656295</v>
      </c>
    </row>
    <row r="30" customFormat="false" ht="15" hidden="false" customHeight="false" outlineLevel="0" collapsed="false">
      <c r="A30" s="29" t="n">
        <v>20</v>
      </c>
      <c r="B30" s="14" t="n">
        <f aca="false">$B$4*(($A30/(1+Assumptions!$C$10)-$A30*(Assumptions!$C$13+$B$8))*(1-Assumptions!$C$28)-(1/(1-$B$9)+Assumptions!$G$47)*(MAX(Assumptions!$C$11*$A30,Assumptions!$C$12/1000)+(B$26/$B$7*(1+Assumptions!$C$15)*(1+Assumptions!$C$14)+$B$10)))-$B$11</f>
        <v>-14945.4913865952</v>
      </c>
      <c r="C30" s="14" t="n">
        <f aca="false">$B$4*(($A30/(1+Assumptions!$C$10)-$A30*(Assumptions!$C$13+$B$8))*(1-Assumptions!$C$28)-(1/(1-$B$9)+Assumptions!$G$47)*(MAX(Assumptions!$C$11*$A30,Assumptions!$C$12/1000)+(C$26/$B$7*(1+Assumptions!$C$15)*(1+Assumptions!$C$14)+$B$10)))-$B$11</f>
        <v>-20786.5910280116</v>
      </c>
      <c r="D30" s="14" t="n">
        <f aca="false">$B$4*(($A30/(1+Assumptions!$C$10)-$A30*(Assumptions!$C$13+$B$8))*(1-Assumptions!$C$28)-(1/(1-$B$9)+Assumptions!$G$47)*(MAX(Assumptions!$C$11*$A30,Assumptions!$C$12/1000)+(D$26/$B$7*(1+Assumptions!$C$15)*(1+Assumptions!$C$14)+$B$10)))-$B$11</f>
        <v>-26627.690669428</v>
      </c>
      <c r="E30" s="14" t="n">
        <f aca="false">$B$4*(($A30/(1+Assumptions!$C$10)-$A30*(Assumptions!$C$13+$B$8))*(1-Assumptions!$C$28)-(1/(1-$B$9)+Assumptions!$G$47)*(MAX(Assumptions!$C$11*$A30,Assumptions!$C$12/1000)+(E$26/$B$7*(1+Assumptions!$C$15)*(1+Assumptions!$C$14)+$B$10)))-$B$11</f>
        <v>-32468.7903108444</v>
      </c>
      <c r="F30" s="14" t="n">
        <f aca="false">$B$4*(($A30/(1+Assumptions!$C$10)-$A30*(Assumptions!$C$13+$B$8))*(1-Assumptions!$C$28)-(1/(1-$B$9)+Assumptions!$G$47)*(MAX(Assumptions!$C$11*$A30,Assumptions!$C$12/1000)+(F$26/$B$7*(1+Assumptions!$C$15)*(1+Assumptions!$C$14)+$B$10)))-$B$11</f>
        <v>-38309.8899522608</v>
      </c>
      <c r="G30" s="14" t="n">
        <f aca="false">$B$4*(($A30/(1+Assumptions!$C$10)-$A30*(Assumptions!$C$13+$B$8))*(1-Assumptions!$C$28)-(1/(1-$B$9)+Assumptions!$G$47)*(MAX(Assumptions!$C$11*$A30,Assumptions!$C$12/1000)+(G$26/$B$7*(1+Assumptions!$C$15)*(1+Assumptions!$C$14)+$B$10)))-$B$11</f>
        <v>-44150.9895936772</v>
      </c>
      <c r="H30" s="14" t="n">
        <f aca="false">$B$4*(($A30/(1+Assumptions!$C$10)-$A30*(Assumptions!$C$13+$B$8))*(1-Assumptions!$C$28)-(1/(1-$B$9)+Assumptions!$G$47)*(MAX(Assumptions!$C$11*$A30,Assumptions!$C$12/1000)+(H$26/$B$7*(1+Assumptions!$C$15)*(1+Assumptions!$C$14)+$B$10)))-$B$11</f>
        <v>-49992.0892350936</v>
      </c>
    </row>
    <row r="31" customFormat="false" ht="15" hidden="false" customHeight="false" outlineLevel="0" collapsed="false">
      <c r="A31" s="29" t="n">
        <v>25</v>
      </c>
      <c r="B31" s="14" t="n">
        <f aca="false">$B$4*(($A31/(1+Assumptions!$C$10)-$A31*(Assumptions!$C$13+$B$8))*(1-Assumptions!$C$28)-(1/(1-$B$9)+Assumptions!$G$47)*(MAX(Assumptions!$C$11*$A31,Assumptions!$C$12/1000)+(B$26/$B$7*(1+Assumptions!$C$15)*(1+Assumptions!$C$14)+$B$10)))-$B$11</f>
        <v>-1974.99931025539</v>
      </c>
      <c r="C31" s="14" t="n">
        <f aca="false">$B$4*(($A31/(1+Assumptions!$C$10)-$A31*(Assumptions!$C$13+$B$8))*(1-Assumptions!$C$28)-(1/(1-$B$9)+Assumptions!$G$47)*(MAX(Assumptions!$C$11*$A31,Assumptions!$C$12/1000)+(C$26/$B$7*(1+Assumptions!$C$15)*(1+Assumptions!$C$14)+$B$10)))-$B$11</f>
        <v>-7816.09895167179</v>
      </c>
      <c r="D31" s="14" t="n">
        <f aca="false">$B$4*(($A31/(1+Assumptions!$C$10)-$A31*(Assumptions!$C$13+$B$8))*(1-Assumptions!$C$28)-(1/(1-$B$9)+Assumptions!$G$47)*(MAX(Assumptions!$C$11*$A31,Assumptions!$C$12/1000)+(D$26/$B$7*(1+Assumptions!$C$15)*(1+Assumptions!$C$14)+$B$10)))-$B$11</f>
        <v>-13657.1985930882</v>
      </c>
      <c r="E31" s="14" t="n">
        <f aca="false">$B$4*(($A31/(1+Assumptions!$C$10)-$A31*(Assumptions!$C$13+$B$8))*(1-Assumptions!$C$28)-(1/(1-$B$9)+Assumptions!$G$47)*(MAX(Assumptions!$C$11*$A31,Assumptions!$C$12/1000)+(E$26/$B$7*(1+Assumptions!$C$15)*(1+Assumptions!$C$14)+$B$10)))-$B$11</f>
        <v>-19498.2982345046</v>
      </c>
      <c r="F31" s="14" t="n">
        <f aca="false">$B$4*(($A31/(1+Assumptions!$C$10)-$A31*(Assumptions!$C$13+$B$8))*(1-Assumptions!$C$28)-(1/(1-$B$9)+Assumptions!$G$47)*(MAX(Assumptions!$C$11*$A31,Assumptions!$C$12/1000)+(F$26/$B$7*(1+Assumptions!$C$15)*(1+Assumptions!$C$14)+$B$10)))-$B$11</f>
        <v>-25339.397875921</v>
      </c>
      <c r="G31" s="14" t="n">
        <f aca="false">$B$4*(($A31/(1+Assumptions!$C$10)-$A31*(Assumptions!$C$13+$B$8))*(1-Assumptions!$C$28)-(1/(1-$B$9)+Assumptions!$G$47)*(MAX(Assumptions!$C$11*$A31,Assumptions!$C$12/1000)+(G$26/$B$7*(1+Assumptions!$C$15)*(1+Assumptions!$C$14)+$B$10)))-$B$11</f>
        <v>-31180.4975173374</v>
      </c>
      <c r="H31" s="14" t="n">
        <f aca="false">$B$4*(($A31/(1+Assumptions!$C$10)-$A31*(Assumptions!$C$13+$B$8))*(1-Assumptions!$C$28)-(1/(1-$B$9)+Assumptions!$G$47)*(MAX(Assumptions!$C$11*$A31,Assumptions!$C$12/1000)+(H$26/$B$7*(1+Assumptions!$C$15)*(1+Assumptions!$C$14)+$B$10)))-$B$11</f>
        <v>-37021.5971587538</v>
      </c>
    </row>
    <row r="32" customFormat="false" ht="15" hidden="false" customHeight="false" outlineLevel="0" collapsed="false">
      <c r="A32" s="29" t="n">
        <v>30</v>
      </c>
      <c r="B32" s="14" t="n">
        <f aca="false">$B$4*(($A32/(1+Assumptions!$C$10)-$A32*(Assumptions!$C$13+$B$8))*(1-Assumptions!$C$28)-(1/(1-$B$9)+Assumptions!$G$47)*(MAX(Assumptions!$C$11*$A32,Assumptions!$C$12/1000)+(B$26/$B$7*(1+Assumptions!$C$15)*(1+Assumptions!$C$14)+$B$10)))-$B$11</f>
        <v>10995.4927660844</v>
      </c>
      <c r="C32" s="14" t="n">
        <f aca="false">$B$4*(($A32/(1+Assumptions!$C$10)-$A32*(Assumptions!$C$13+$B$8))*(1-Assumptions!$C$28)-(1/(1-$B$9)+Assumptions!$G$47)*(MAX(Assumptions!$C$11*$A32,Assumptions!$C$12/1000)+(C$26/$B$7*(1+Assumptions!$C$15)*(1+Assumptions!$C$14)+$B$10)))-$B$11</f>
        <v>5154.39312466799</v>
      </c>
      <c r="D32" s="14" t="n">
        <f aca="false">$B$4*(($A32/(1+Assumptions!$C$10)-$A32*(Assumptions!$C$13+$B$8))*(1-Assumptions!$C$28)-(1/(1-$B$9)+Assumptions!$G$47)*(MAX(Assumptions!$C$11*$A32,Assumptions!$C$12/1000)+(D$26/$B$7*(1+Assumptions!$C$15)*(1+Assumptions!$C$14)+$B$10)))-$B$11</f>
        <v>-686.706516748414</v>
      </c>
      <c r="E32" s="14" t="n">
        <f aca="false">$B$4*(($A32/(1+Assumptions!$C$10)-$A32*(Assumptions!$C$13+$B$8))*(1-Assumptions!$C$28)-(1/(1-$B$9)+Assumptions!$G$47)*(MAX(Assumptions!$C$11*$A32,Assumptions!$C$12/1000)+(E$26/$B$7*(1+Assumptions!$C$15)*(1+Assumptions!$C$14)+$B$10)))-$B$11</f>
        <v>-6527.80615816481</v>
      </c>
      <c r="F32" s="14" t="n">
        <f aca="false">$B$4*(($A32/(1+Assumptions!$C$10)-$A32*(Assumptions!$C$13+$B$8))*(1-Assumptions!$C$28)-(1/(1-$B$9)+Assumptions!$G$47)*(MAX(Assumptions!$C$11*$A32,Assumptions!$C$12/1000)+(F$26/$B$7*(1+Assumptions!$C$15)*(1+Assumptions!$C$14)+$B$10)))-$B$11</f>
        <v>-12368.9057995812</v>
      </c>
      <c r="G32" s="14" t="n">
        <f aca="false">$B$4*(($A32/(1+Assumptions!$C$10)-$A32*(Assumptions!$C$13+$B$8))*(1-Assumptions!$C$28)-(1/(1-$B$9)+Assumptions!$G$47)*(MAX(Assumptions!$C$11*$A32,Assumptions!$C$12/1000)+(G$26/$B$7*(1+Assumptions!$C$15)*(1+Assumptions!$C$14)+$B$10)))-$B$11</f>
        <v>-18210.0054409976</v>
      </c>
      <c r="H32" s="14" t="n">
        <f aca="false">$B$4*(($A32/(1+Assumptions!$C$10)-$A32*(Assumptions!$C$13+$B$8))*(1-Assumptions!$C$28)-(1/(1-$B$9)+Assumptions!$G$47)*(MAX(Assumptions!$C$11*$A32,Assumptions!$C$12/1000)+(H$26/$B$7*(1+Assumptions!$C$15)*(1+Assumptions!$C$14)+$B$10)))-$B$11</f>
        <v>-24051.105082414</v>
      </c>
    </row>
    <row r="33" customFormat="false" ht="15" hidden="false" customHeight="false" outlineLevel="0" collapsed="false">
      <c r="A33" s="29" t="n">
        <v>35</v>
      </c>
      <c r="B33" s="14" t="n">
        <f aca="false">$B$4*(($A33/(1+Assumptions!$C$10)-$A33*(Assumptions!$C$13+$B$8))*(1-Assumptions!$C$28)-(1/(1-$B$9)+Assumptions!$G$47)*(MAX(Assumptions!$C$11*$A33,Assumptions!$C$12/1000)+(B$26/$B$7*(1+Assumptions!$C$15)*(1+Assumptions!$C$14)+$B$10)))-$B$11</f>
        <v>23965.9848424242</v>
      </c>
      <c r="C33" s="14" t="n">
        <f aca="false">$B$4*(($A33/(1+Assumptions!$C$10)-$A33*(Assumptions!$C$13+$B$8))*(1-Assumptions!$C$28)-(1/(1-$B$9)+Assumptions!$G$47)*(MAX(Assumptions!$C$11*$A33,Assumptions!$C$12/1000)+(C$26/$B$7*(1+Assumptions!$C$15)*(1+Assumptions!$C$14)+$B$10)))-$B$11</f>
        <v>18124.8852010078</v>
      </c>
      <c r="D33" s="14" t="n">
        <f aca="false">$B$4*(($A33/(1+Assumptions!$C$10)-$A33*(Assumptions!$C$13+$B$8))*(1-Assumptions!$C$28)-(1/(1-$B$9)+Assumptions!$G$47)*(MAX(Assumptions!$C$11*$A33,Assumptions!$C$12/1000)+(D$26/$B$7*(1+Assumptions!$C$15)*(1+Assumptions!$C$14)+$B$10)))-$B$11</f>
        <v>12283.7855595914</v>
      </c>
      <c r="E33" s="14" t="n">
        <f aca="false">$B$4*(($A33/(1+Assumptions!$C$10)-$A33*(Assumptions!$C$13+$B$8))*(1-Assumptions!$C$28)-(1/(1-$B$9)+Assumptions!$G$47)*(MAX(Assumptions!$C$11*$A33,Assumptions!$C$12/1000)+(E$26/$B$7*(1+Assumptions!$C$15)*(1+Assumptions!$C$14)+$B$10)))-$B$11</f>
        <v>6442.68591817497</v>
      </c>
      <c r="F33" s="14" t="n">
        <f aca="false">$B$4*(($A33/(1+Assumptions!$C$10)-$A33*(Assumptions!$C$13+$B$8))*(1-Assumptions!$C$28)-(1/(1-$B$9)+Assumptions!$G$47)*(MAX(Assumptions!$C$11*$A33,Assumptions!$C$12/1000)+(F$26/$B$7*(1+Assumptions!$C$15)*(1+Assumptions!$C$14)+$B$10)))-$B$11</f>
        <v>601.586276758546</v>
      </c>
      <c r="G33" s="14" t="n">
        <f aca="false">$B$4*(($A33/(1+Assumptions!$C$10)-$A33*(Assumptions!$C$13+$B$8))*(1-Assumptions!$C$28)-(1/(1-$B$9)+Assumptions!$G$47)*(MAX(Assumptions!$C$11*$A33,Assumptions!$C$12/1000)+(G$26/$B$7*(1+Assumptions!$C$15)*(1+Assumptions!$C$14)+$B$10)))-$B$11</f>
        <v>-5239.51336465785</v>
      </c>
      <c r="H33" s="14" t="n">
        <f aca="false">$B$4*(($A33/(1+Assumptions!$C$10)-$A33*(Assumptions!$C$13+$B$8))*(1-Assumptions!$C$28)-(1/(1-$B$9)+Assumptions!$G$47)*(MAX(Assumptions!$C$11*$A33,Assumptions!$C$12/1000)+(H$26/$B$7*(1+Assumptions!$C$15)*(1+Assumptions!$C$14)+$B$10)))-$B$11</f>
        <v>-11080.6130060743</v>
      </c>
    </row>
    <row r="35" customFormat="false" ht="15" hidden="false" customHeight="false" outlineLevel="0" collapsed="false">
      <c r="A35" s="23" t="s">
        <v>413</v>
      </c>
      <c r="B35" s="24"/>
      <c r="C35" s="24"/>
      <c r="D35" s="24"/>
      <c r="E35" s="24"/>
      <c r="F35" s="24"/>
      <c r="G35" s="24"/>
      <c r="H35" s="24"/>
      <c r="I35" s="24"/>
    </row>
    <row r="36" customFormat="false" ht="15" hidden="false" customHeight="false" outlineLevel="0" collapsed="false">
      <c r="A36" s="5" t="s">
        <v>414</v>
      </c>
      <c r="B36" s="5" t="s">
        <v>415</v>
      </c>
      <c r="C36" s="5" t="s">
        <v>416</v>
      </c>
      <c r="D36" s="5" t="s">
        <v>417</v>
      </c>
      <c r="E36" s="5" t="s">
        <v>418</v>
      </c>
      <c r="F36" s="5" t="s">
        <v>419</v>
      </c>
      <c r="G36" s="5" t="s">
        <v>420</v>
      </c>
    </row>
    <row r="37" customFormat="false" ht="15" hidden="false" customHeight="false" outlineLevel="0" collapsed="false">
      <c r="B37" s="27" t="n">
        <v>0.03</v>
      </c>
      <c r="C37" s="27" t="n">
        <v>0.04</v>
      </c>
      <c r="D37" s="27" t="n">
        <v>0.05</v>
      </c>
      <c r="E37" s="27" t="n">
        <v>0.06</v>
      </c>
      <c r="F37" s="27" t="n">
        <v>0.08</v>
      </c>
      <c r="G37" s="27" t="n">
        <v>0.1</v>
      </c>
    </row>
    <row r="38" customFormat="false" ht="15" hidden="false" customHeight="false" outlineLevel="0" collapsed="false">
      <c r="A38" s="30" t="n">
        <v>2000</v>
      </c>
      <c r="B38" s="14" t="n">
        <f aca="false">$A38*(($B$5/(1+Assumptions!$C$10)-$B$5*(Assumptions!$C$13+B$37))*(1-Assumptions!$C$28)-(1/(1-$B$9)+Assumptions!$G$47)*(MAX(Assumptions!$C$11*$B$5,Assumptions!$C$12/1000)+($B$6/$B$7*(1+Assumptions!$C$15)*(1+Assumptions!$C$14)+$B$10)))-$B$11</f>
        <v>-20534.5188033425</v>
      </c>
      <c r="C38" s="14" t="n">
        <f aca="false">$A38*(($B$5/(1+Assumptions!$C$10)-$B$5*(Assumptions!$C$13+C$37))*(1-Assumptions!$C$28)-(1/(1-$B$9)+Assumptions!$G$47)*(MAX(Assumptions!$C$11*$B$5,Assumptions!$C$12/1000)+($B$6/$B$7*(1+Assumptions!$C$15)*(1+Assumptions!$C$14)+$B$10)))-$B$11</f>
        <v>-21014.5188033425</v>
      </c>
      <c r="D38" s="14" t="n">
        <f aca="false">$A38*(($B$5/(1+Assumptions!$C$10)-$B$5*(Assumptions!$C$13+D$37))*(1-Assumptions!$C$28)-(1/(1-$B$9)+Assumptions!$G$47)*(MAX(Assumptions!$C$11*$B$5,Assumptions!$C$12/1000)+($B$6/$B$7*(1+Assumptions!$C$15)*(1+Assumptions!$C$14)+$B$10)))-$B$11</f>
        <v>-21494.5188033425</v>
      </c>
      <c r="E38" s="14" t="n">
        <f aca="false">$A38*(($B$5/(1+Assumptions!$C$10)-$B$5*(Assumptions!$C$13+E$37))*(1-Assumptions!$C$28)-(1/(1-$B$9)+Assumptions!$G$47)*(MAX(Assumptions!$C$11*$B$5,Assumptions!$C$12/1000)+($B$6/$B$7*(1+Assumptions!$C$15)*(1+Assumptions!$C$14)+$B$10)))-$B$11</f>
        <v>-21974.5188033425</v>
      </c>
      <c r="F38" s="14" t="n">
        <f aca="false">$A38*(($B$5/(1+Assumptions!$C$10)-$B$5*(Assumptions!$C$13+F$37))*(1-Assumptions!$C$28)-(1/(1-$B$9)+Assumptions!$G$47)*(MAX(Assumptions!$C$11*$B$5,Assumptions!$C$12/1000)+($B$6/$B$7*(1+Assumptions!$C$15)*(1+Assumptions!$C$14)+$B$10)))-$B$11</f>
        <v>-22934.5188033425</v>
      </c>
      <c r="G38" s="14" t="n">
        <f aca="false">$A38*(($B$5/(1+Assumptions!$C$10)-$B$5*(Assumptions!$C$13+G$37))*(1-Assumptions!$C$28)-(1/(1-$B$9)+Assumptions!$G$47)*(MAX(Assumptions!$C$11*$B$5,Assumptions!$C$12/1000)+($B$6/$B$7*(1+Assumptions!$C$15)*(1+Assumptions!$C$14)+$B$10)))-$B$11</f>
        <v>-23894.5188033425</v>
      </c>
    </row>
    <row r="39" customFormat="false" ht="15" hidden="false" customHeight="false" outlineLevel="0" collapsed="false">
      <c r="A39" s="30" t="n">
        <v>4000</v>
      </c>
      <c r="B39" s="14" t="n">
        <f aca="false">$A39*(($B$5/(1+Assumptions!$C$10)-$B$5*(Assumptions!$C$13+B$37))*(1-Assumptions!$C$28)-(1/(1-$B$9)+Assumptions!$G$47)*(MAX(Assumptions!$C$11*$B$5,Assumptions!$C$12/1000)+($B$6/$B$7*(1+Assumptions!$C$15)*(1+Assumptions!$C$14)+$B$10)))-$B$11</f>
        <v>-16079.0376066849</v>
      </c>
      <c r="C39" s="14" t="n">
        <f aca="false">$A39*(($B$5/(1+Assumptions!$C$10)-$B$5*(Assumptions!$C$13+C$37))*(1-Assumptions!$C$28)-(1/(1-$B$9)+Assumptions!$G$47)*(MAX(Assumptions!$C$11*$B$5,Assumptions!$C$12/1000)+($B$6/$B$7*(1+Assumptions!$C$15)*(1+Assumptions!$C$14)+$B$10)))-$B$11</f>
        <v>-17039.0376066849</v>
      </c>
      <c r="D39" s="14" t="n">
        <f aca="false">$A39*(($B$5/(1+Assumptions!$C$10)-$B$5*(Assumptions!$C$13+D$37))*(1-Assumptions!$C$28)-(1/(1-$B$9)+Assumptions!$G$47)*(MAX(Assumptions!$C$11*$B$5,Assumptions!$C$12/1000)+($B$6/$B$7*(1+Assumptions!$C$15)*(1+Assumptions!$C$14)+$B$10)))-$B$11</f>
        <v>-17999.0376066849</v>
      </c>
      <c r="E39" s="14" t="n">
        <f aca="false">$A39*(($B$5/(1+Assumptions!$C$10)-$B$5*(Assumptions!$C$13+E$37))*(1-Assumptions!$C$28)-(1/(1-$B$9)+Assumptions!$G$47)*(MAX(Assumptions!$C$11*$B$5,Assumptions!$C$12/1000)+($B$6/$B$7*(1+Assumptions!$C$15)*(1+Assumptions!$C$14)+$B$10)))-$B$11</f>
        <v>-18959.0376066849</v>
      </c>
      <c r="F39" s="14" t="n">
        <f aca="false">$A39*(($B$5/(1+Assumptions!$C$10)-$B$5*(Assumptions!$C$13+F$37))*(1-Assumptions!$C$28)-(1/(1-$B$9)+Assumptions!$G$47)*(MAX(Assumptions!$C$11*$B$5,Assumptions!$C$12/1000)+($B$6/$B$7*(1+Assumptions!$C$15)*(1+Assumptions!$C$14)+$B$10)))-$B$11</f>
        <v>-20879.0376066849</v>
      </c>
      <c r="G39" s="14" t="n">
        <f aca="false">$A39*(($B$5/(1+Assumptions!$C$10)-$B$5*(Assumptions!$C$13+G$37))*(1-Assumptions!$C$28)-(1/(1-$B$9)+Assumptions!$G$47)*(MAX(Assumptions!$C$11*$B$5,Assumptions!$C$12/1000)+($B$6/$B$7*(1+Assumptions!$C$15)*(1+Assumptions!$C$14)+$B$10)))-$B$11</f>
        <v>-22799.0376066849</v>
      </c>
    </row>
    <row r="40" customFormat="false" ht="15" hidden="false" customHeight="false" outlineLevel="0" collapsed="false">
      <c r="A40" s="30" t="n">
        <v>6000</v>
      </c>
      <c r="B40" s="14" t="n">
        <f aca="false">$A40*(($B$5/(1+Assumptions!$C$10)-$B$5*(Assumptions!$C$13+B$37))*(1-Assumptions!$C$28)-(1/(1-$B$9)+Assumptions!$G$47)*(MAX(Assumptions!$C$11*$B$5,Assumptions!$C$12/1000)+($B$6/$B$7*(1+Assumptions!$C$15)*(1+Assumptions!$C$14)+$B$10)))-$B$11</f>
        <v>-11623.5564100274</v>
      </c>
      <c r="C40" s="14" t="n">
        <f aca="false">$A40*(($B$5/(1+Assumptions!$C$10)-$B$5*(Assumptions!$C$13+C$37))*(1-Assumptions!$C$28)-(1/(1-$B$9)+Assumptions!$G$47)*(MAX(Assumptions!$C$11*$B$5,Assumptions!$C$12/1000)+($B$6/$B$7*(1+Assumptions!$C$15)*(1+Assumptions!$C$14)+$B$10)))-$B$11</f>
        <v>-13063.5564100274</v>
      </c>
      <c r="D40" s="14" t="n">
        <f aca="false">$A40*(($B$5/(1+Assumptions!$C$10)-$B$5*(Assumptions!$C$13+D$37))*(1-Assumptions!$C$28)-(1/(1-$B$9)+Assumptions!$G$47)*(MAX(Assumptions!$C$11*$B$5,Assumptions!$C$12/1000)+($B$6/$B$7*(1+Assumptions!$C$15)*(1+Assumptions!$C$14)+$B$10)))-$B$11</f>
        <v>-14503.5564100274</v>
      </c>
      <c r="E40" s="14" t="n">
        <f aca="false">$A40*(($B$5/(1+Assumptions!$C$10)-$B$5*(Assumptions!$C$13+E$37))*(1-Assumptions!$C$28)-(1/(1-$B$9)+Assumptions!$G$47)*(MAX(Assumptions!$C$11*$B$5,Assumptions!$C$12/1000)+($B$6/$B$7*(1+Assumptions!$C$15)*(1+Assumptions!$C$14)+$B$10)))-$B$11</f>
        <v>-15943.5564100274</v>
      </c>
      <c r="F40" s="14" t="n">
        <f aca="false">$A40*(($B$5/(1+Assumptions!$C$10)-$B$5*(Assumptions!$C$13+F$37))*(1-Assumptions!$C$28)-(1/(1-$B$9)+Assumptions!$G$47)*(MAX(Assumptions!$C$11*$B$5,Assumptions!$C$12/1000)+($B$6/$B$7*(1+Assumptions!$C$15)*(1+Assumptions!$C$14)+$B$10)))-$B$11</f>
        <v>-18823.5564100274</v>
      </c>
      <c r="G40" s="14" t="n">
        <f aca="false">$A40*(($B$5/(1+Assumptions!$C$10)-$B$5*(Assumptions!$C$13+G$37))*(1-Assumptions!$C$28)-(1/(1-$B$9)+Assumptions!$G$47)*(MAX(Assumptions!$C$11*$B$5,Assumptions!$C$12/1000)+($B$6/$B$7*(1+Assumptions!$C$15)*(1+Assumptions!$C$14)+$B$10)))-$B$11</f>
        <v>-21703.5564100274</v>
      </c>
    </row>
    <row r="41" customFormat="false" ht="15" hidden="false" customHeight="false" outlineLevel="0" collapsed="false">
      <c r="A41" s="30" t="n">
        <v>8000</v>
      </c>
      <c r="B41" s="14" t="n">
        <f aca="false">$A41*(($B$5/(1+Assumptions!$C$10)-$B$5*(Assumptions!$C$13+B$37))*(1-Assumptions!$C$28)-(1/(1-$B$9)+Assumptions!$G$47)*(MAX(Assumptions!$C$11*$B$5,Assumptions!$C$12/1000)+($B$6/$B$7*(1+Assumptions!$C$15)*(1+Assumptions!$C$14)+$B$10)))-$B$11</f>
        <v>-7168.07521336982</v>
      </c>
      <c r="C41" s="14" t="n">
        <f aca="false">$A41*(($B$5/(1+Assumptions!$C$10)-$B$5*(Assumptions!$C$13+C$37))*(1-Assumptions!$C$28)-(1/(1-$B$9)+Assumptions!$G$47)*(MAX(Assumptions!$C$11*$B$5,Assumptions!$C$12/1000)+($B$6/$B$7*(1+Assumptions!$C$15)*(1+Assumptions!$C$14)+$B$10)))-$B$11</f>
        <v>-9088.07521336984</v>
      </c>
      <c r="D41" s="14" t="n">
        <f aca="false">$A41*(($B$5/(1+Assumptions!$C$10)-$B$5*(Assumptions!$C$13+D$37))*(1-Assumptions!$C$28)-(1/(1-$B$9)+Assumptions!$G$47)*(MAX(Assumptions!$C$11*$B$5,Assumptions!$C$12/1000)+($B$6/$B$7*(1+Assumptions!$C$15)*(1+Assumptions!$C$14)+$B$10)))-$B$11</f>
        <v>-11008.0752133698</v>
      </c>
      <c r="E41" s="14" t="n">
        <f aca="false">$A41*(($B$5/(1+Assumptions!$C$10)-$B$5*(Assumptions!$C$13+E$37))*(1-Assumptions!$C$28)-(1/(1-$B$9)+Assumptions!$G$47)*(MAX(Assumptions!$C$11*$B$5,Assumptions!$C$12/1000)+($B$6/$B$7*(1+Assumptions!$C$15)*(1+Assumptions!$C$14)+$B$10)))-$B$11</f>
        <v>-12928.0752133698</v>
      </c>
      <c r="F41" s="14" t="n">
        <f aca="false">$A41*(($B$5/(1+Assumptions!$C$10)-$B$5*(Assumptions!$C$13+F$37))*(1-Assumptions!$C$28)-(1/(1-$B$9)+Assumptions!$G$47)*(MAX(Assumptions!$C$11*$B$5,Assumptions!$C$12/1000)+($B$6/$B$7*(1+Assumptions!$C$15)*(1+Assumptions!$C$14)+$B$10)))-$B$11</f>
        <v>-16768.0752133698</v>
      </c>
      <c r="G41" s="14" t="n">
        <f aca="false">$A41*(($B$5/(1+Assumptions!$C$10)-$B$5*(Assumptions!$C$13+G$37))*(1-Assumptions!$C$28)-(1/(1-$B$9)+Assumptions!$G$47)*(MAX(Assumptions!$C$11*$B$5,Assumptions!$C$12/1000)+($B$6/$B$7*(1+Assumptions!$C$15)*(1+Assumptions!$C$14)+$B$10)))-$B$11</f>
        <v>-20608.0752133698</v>
      </c>
    </row>
    <row r="42" customFormat="false" ht="15" hidden="false" customHeight="false" outlineLevel="0" collapsed="false">
      <c r="A42" s="30" t="n">
        <v>10000</v>
      </c>
      <c r="B42" s="14" t="n">
        <f aca="false">$A42*(($B$5/(1+Assumptions!$C$10)-$B$5*(Assumptions!$C$13+B$37))*(1-Assumptions!$C$28)-(1/(1-$B$9)+Assumptions!$G$47)*(MAX(Assumptions!$C$11*$B$5,Assumptions!$C$12/1000)+($B$6/$B$7*(1+Assumptions!$C$15)*(1+Assumptions!$C$14)+$B$10)))-$B$11</f>
        <v>-2712.59401671228</v>
      </c>
      <c r="C42" s="14" t="n">
        <f aca="false">$A42*(($B$5/(1+Assumptions!$C$10)-$B$5*(Assumptions!$C$13+C$37))*(1-Assumptions!$C$28)-(1/(1-$B$9)+Assumptions!$G$47)*(MAX(Assumptions!$C$11*$B$5,Assumptions!$C$12/1000)+($B$6/$B$7*(1+Assumptions!$C$15)*(1+Assumptions!$C$14)+$B$10)))-$B$11</f>
        <v>-5112.5940167123</v>
      </c>
      <c r="D42" s="14" t="n">
        <f aca="false">$A42*(($B$5/(1+Assumptions!$C$10)-$B$5*(Assumptions!$C$13+D$37))*(1-Assumptions!$C$28)-(1/(1-$B$9)+Assumptions!$G$47)*(MAX(Assumptions!$C$11*$B$5,Assumptions!$C$12/1000)+($B$6/$B$7*(1+Assumptions!$C$15)*(1+Assumptions!$C$14)+$B$10)))-$B$11</f>
        <v>-7512.59401671228</v>
      </c>
      <c r="E42" s="14" t="n">
        <f aca="false">$A42*(($B$5/(1+Assumptions!$C$10)-$B$5*(Assumptions!$C$13+E$37))*(1-Assumptions!$C$28)-(1/(1-$B$9)+Assumptions!$G$47)*(MAX(Assumptions!$C$11*$B$5,Assumptions!$C$12/1000)+($B$6/$B$7*(1+Assumptions!$C$15)*(1+Assumptions!$C$14)+$B$10)))-$B$11</f>
        <v>-9912.59401671227</v>
      </c>
      <c r="F42" s="14" t="n">
        <f aca="false">$A42*(($B$5/(1+Assumptions!$C$10)-$B$5*(Assumptions!$C$13+F$37))*(1-Assumptions!$C$28)-(1/(1-$B$9)+Assumptions!$G$47)*(MAX(Assumptions!$C$11*$B$5,Assumptions!$C$12/1000)+($B$6/$B$7*(1+Assumptions!$C$15)*(1+Assumptions!$C$14)+$B$10)))-$B$11</f>
        <v>-14712.5940167123</v>
      </c>
      <c r="G42" s="14" t="n">
        <f aca="false">$A42*(($B$5/(1+Assumptions!$C$10)-$B$5*(Assumptions!$C$13+G$37))*(1-Assumptions!$C$28)-(1/(1-$B$9)+Assumptions!$G$47)*(MAX(Assumptions!$C$11*$B$5,Assumptions!$C$12/1000)+($B$6/$B$7*(1+Assumptions!$C$15)*(1+Assumptions!$C$14)+$B$10)))-$B$11</f>
        <v>-19512.5940167123</v>
      </c>
    </row>
    <row r="43" customFormat="false" ht="15" hidden="false" customHeight="false" outlineLevel="0" collapsed="false">
      <c r="A43" s="30" t="n">
        <v>15000</v>
      </c>
      <c r="B43" s="14" t="n">
        <f aca="false">$A43*(($B$5/(1+Assumptions!$C$10)-$B$5*(Assumptions!$C$13+B$37))*(1-Assumptions!$C$28)-(1/(1-$B$9)+Assumptions!$G$47)*(MAX(Assumptions!$C$11*$B$5,Assumptions!$C$12/1000)+($B$6/$B$7*(1+Assumptions!$C$15)*(1+Assumptions!$C$14)+$B$10)))-$B$11</f>
        <v>8426.10897493158</v>
      </c>
      <c r="C43" s="14" t="n">
        <f aca="false">$A43*(($B$5/(1+Assumptions!$C$10)-$B$5*(Assumptions!$C$13+C$37))*(1-Assumptions!$C$28)-(1/(1-$B$9)+Assumptions!$G$47)*(MAX(Assumptions!$C$11*$B$5,Assumptions!$C$12/1000)+($B$6/$B$7*(1+Assumptions!$C$15)*(1+Assumptions!$C$14)+$B$10)))-$B$11</f>
        <v>4826.10897493155</v>
      </c>
      <c r="D43" s="14" t="n">
        <f aca="false">$A43*(($B$5/(1+Assumptions!$C$10)-$B$5*(Assumptions!$C$13+D$37))*(1-Assumptions!$C$28)-(1/(1-$B$9)+Assumptions!$G$47)*(MAX(Assumptions!$C$11*$B$5,Assumptions!$C$12/1000)+($B$6/$B$7*(1+Assumptions!$C$15)*(1+Assumptions!$C$14)+$B$10)))-$B$11</f>
        <v>1226.10897493158</v>
      </c>
      <c r="E43" s="14" t="n">
        <f aca="false">$A43*(($B$5/(1+Assumptions!$C$10)-$B$5*(Assumptions!$C$13+E$37))*(1-Assumptions!$C$28)-(1/(1-$B$9)+Assumptions!$G$47)*(MAX(Assumptions!$C$11*$B$5,Assumptions!$C$12/1000)+($B$6/$B$7*(1+Assumptions!$C$15)*(1+Assumptions!$C$14)+$B$10)))-$B$11</f>
        <v>-2373.8910250684</v>
      </c>
      <c r="F43" s="14" t="n">
        <f aca="false">$A43*(($B$5/(1+Assumptions!$C$10)-$B$5*(Assumptions!$C$13+F$37))*(1-Assumptions!$C$28)-(1/(1-$B$9)+Assumptions!$G$47)*(MAX(Assumptions!$C$11*$B$5,Assumptions!$C$12/1000)+($B$6/$B$7*(1+Assumptions!$C$15)*(1+Assumptions!$C$14)+$B$10)))-$B$11</f>
        <v>-9573.89102506844</v>
      </c>
      <c r="G43" s="14" t="n">
        <f aca="false">$A43*(($B$5/(1+Assumptions!$C$10)-$B$5*(Assumptions!$C$13+G$37))*(1-Assumptions!$C$28)-(1/(1-$B$9)+Assumptions!$G$47)*(MAX(Assumptions!$C$11*$B$5,Assumptions!$C$12/1000)+($B$6/$B$7*(1+Assumptions!$C$15)*(1+Assumptions!$C$14)+$B$10)))-$B$11</f>
        <v>-16773.8910250684</v>
      </c>
    </row>
    <row r="44" customFormat="false" ht="15" hidden="false" customHeight="false" outlineLevel="0" collapsed="false">
      <c r="A44" s="30" t="n">
        <v>20000</v>
      </c>
      <c r="B44" s="14" t="n">
        <f aca="false">$A44*(($B$5/(1+Assumptions!$C$10)-$B$5*(Assumptions!$C$13+B$37))*(1-Assumptions!$C$28)-(1/(1-$B$9)+Assumptions!$G$47)*(MAX(Assumptions!$C$11*$B$5,Assumptions!$C$12/1000)+($B$6/$B$7*(1+Assumptions!$C$15)*(1+Assumptions!$C$14)+$B$10)))-$B$11</f>
        <v>19564.8119665754</v>
      </c>
      <c r="C44" s="14" t="n">
        <f aca="false">$A44*(($B$5/(1+Assumptions!$C$10)-$B$5*(Assumptions!$C$13+C$37))*(1-Assumptions!$C$28)-(1/(1-$B$9)+Assumptions!$G$47)*(MAX(Assumptions!$C$11*$B$5,Assumptions!$C$12/1000)+($B$6/$B$7*(1+Assumptions!$C$15)*(1+Assumptions!$C$14)+$B$10)))-$B$11</f>
        <v>14764.8119665754</v>
      </c>
      <c r="D44" s="14" t="n">
        <f aca="false">$A44*(($B$5/(1+Assumptions!$C$10)-$B$5*(Assumptions!$C$13+D$37))*(1-Assumptions!$C$28)-(1/(1-$B$9)+Assumptions!$G$47)*(MAX(Assumptions!$C$11*$B$5,Assumptions!$C$12/1000)+($B$6/$B$7*(1+Assumptions!$C$15)*(1+Assumptions!$C$14)+$B$10)))-$B$11</f>
        <v>9964.81196657544</v>
      </c>
      <c r="E44" s="14" t="n">
        <f aca="false">$A44*(($B$5/(1+Assumptions!$C$10)-$B$5*(Assumptions!$C$13+E$37))*(1-Assumptions!$C$28)-(1/(1-$B$9)+Assumptions!$G$47)*(MAX(Assumptions!$C$11*$B$5,Assumptions!$C$12/1000)+($B$6/$B$7*(1+Assumptions!$C$15)*(1+Assumptions!$C$14)+$B$10)))-$B$11</f>
        <v>5164.81196657546</v>
      </c>
      <c r="F44" s="14" t="n">
        <f aca="false">$A44*(($B$5/(1+Assumptions!$C$10)-$B$5*(Assumptions!$C$13+F$37))*(1-Assumptions!$C$28)-(1/(1-$B$9)+Assumptions!$G$47)*(MAX(Assumptions!$C$11*$B$5,Assumptions!$C$12/1000)+($B$6/$B$7*(1+Assumptions!$C$15)*(1+Assumptions!$C$14)+$B$10)))-$B$11</f>
        <v>-4435.18803342458</v>
      </c>
      <c r="G44" s="14" t="n">
        <f aca="false">$A44*(($B$5/(1+Assumptions!$C$10)-$B$5*(Assumptions!$C$13+G$37))*(1-Assumptions!$C$28)-(1/(1-$B$9)+Assumptions!$G$47)*(MAX(Assumptions!$C$11*$B$5,Assumptions!$C$12/1000)+($B$6/$B$7*(1+Assumptions!$C$15)*(1+Assumptions!$C$14)+$B$10)))-$B$11</f>
        <v>-14035.1880334246</v>
      </c>
    </row>
    <row r="46" customFormat="false" ht="15" hidden="false" customHeight="false" outlineLevel="0" collapsed="false">
      <c r="A46" s="23" t="s">
        <v>421</v>
      </c>
      <c r="B46" s="24"/>
      <c r="C46" s="24"/>
      <c r="D46" s="24"/>
      <c r="E46" s="24"/>
      <c r="F46" s="24"/>
    </row>
    <row r="47" customFormat="false" ht="15" hidden="false" customHeight="false" outlineLevel="0" collapsed="false">
      <c r="A47" s="3" t="s">
        <v>422</v>
      </c>
      <c r="B47" s="14" t="n">
        <f aca="false">INDEX(Engine!$C$40:$Y$40,1,(Assumptions!$C$4-1)*6+2)/12</f>
        <v>1897.5</v>
      </c>
    </row>
    <row r="48" customFormat="false" ht="28.35" hidden="false" customHeight="false" outlineLevel="0" collapsed="false">
      <c r="A48" s="5" t="s">
        <v>423</v>
      </c>
      <c r="B48" s="5" t="s">
        <v>424</v>
      </c>
      <c r="C48" s="5" t="s">
        <v>425</v>
      </c>
      <c r="D48" s="5" t="s">
        <v>426</v>
      </c>
      <c r="E48" s="5" t="s">
        <v>427</v>
      </c>
      <c r="F48" s="5" t="s">
        <v>428</v>
      </c>
    </row>
    <row r="49" customFormat="false" ht="15" hidden="false" customHeight="false" outlineLevel="0" collapsed="false">
      <c r="A49" s="30" t="n">
        <v>0</v>
      </c>
      <c r="B49" s="14" t="n">
        <f aca="false">A49*$B$47</f>
        <v>0</v>
      </c>
      <c r="C49" s="14" t="n">
        <f aca="false">(INDEX(Engine!$C$75:$Y$75,1,(Assumptions!$C$4-1)*6+2)+B49)*0.05</f>
        <v>2522.78643498983</v>
      </c>
      <c r="D49" s="14" t="n">
        <f aca="false">(INDEX(Engine!$C$75:$Y$75,1,(Assumptions!$C$4-1)*6+2)+B49)*0.07</f>
        <v>3531.90100898576</v>
      </c>
      <c r="E49" s="14" t="n">
        <f aca="false">(INDEX(Engine!$C$75:$Y$75,1,(Assumptions!$C$4-1)*6+2)+B49)*0.1</f>
        <v>5045.57286997966</v>
      </c>
      <c r="F49" s="14" t="n">
        <f aca="false">(INDEX(Engine!$C$75:$Y$75,1,(Assumptions!$C$4-1)*6+2)+B49)*0.12</f>
        <v>6054.68744397559</v>
      </c>
    </row>
    <row r="50" customFormat="false" ht="15" hidden="false" customHeight="false" outlineLevel="0" collapsed="false">
      <c r="A50" s="30" t="n">
        <v>3</v>
      </c>
      <c r="B50" s="14" t="n">
        <f aca="false">A50*$B$47</f>
        <v>5692.5</v>
      </c>
      <c r="C50" s="14" t="n">
        <f aca="false">(INDEX(Engine!$C$75:$Y$75,1,(Assumptions!$C$4-1)*6+2)+B50)*0.05</f>
        <v>2807.41143498983</v>
      </c>
      <c r="D50" s="14" t="n">
        <f aca="false">(INDEX(Engine!$C$75:$Y$75,1,(Assumptions!$C$4-1)*6+2)+B50)*0.07</f>
        <v>3930.37600898576</v>
      </c>
      <c r="E50" s="14" t="n">
        <f aca="false">(INDEX(Engine!$C$75:$Y$75,1,(Assumptions!$C$4-1)*6+2)+B50)*0.1</f>
        <v>5614.82286997966</v>
      </c>
      <c r="F50" s="14" t="n">
        <f aca="false">(INDEX(Engine!$C$75:$Y$75,1,(Assumptions!$C$4-1)*6+2)+B50)*0.12</f>
        <v>6737.78744397559</v>
      </c>
    </row>
    <row r="51" customFormat="false" ht="15" hidden="false" customHeight="false" outlineLevel="0" collapsed="false">
      <c r="A51" s="30" t="n">
        <v>6</v>
      </c>
      <c r="B51" s="14" t="n">
        <f aca="false">A51*$B$47</f>
        <v>11385</v>
      </c>
      <c r="C51" s="14" t="n">
        <f aca="false">(INDEX(Engine!$C$75:$Y$75,1,(Assumptions!$C$4-1)*6+2)+B51)*0.05</f>
        <v>3092.03643498983</v>
      </c>
      <c r="D51" s="14" t="n">
        <f aca="false">(INDEX(Engine!$C$75:$Y$75,1,(Assumptions!$C$4-1)*6+2)+B51)*0.07</f>
        <v>4328.85100898576</v>
      </c>
      <c r="E51" s="14" t="n">
        <f aca="false">(INDEX(Engine!$C$75:$Y$75,1,(Assumptions!$C$4-1)*6+2)+B51)*0.1</f>
        <v>6184.07286997966</v>
      </c>
      <c r="F51" s="14" t="n">
        <f aca="false">(INDEX(Engine!$C$75:$Y$75,1,(Assumptions!$C$4-1)*6+2)+B51)*0.12</f>
        <v>7420.88744397559</v>
      </c>
    </row>
    <row r="52" customFormat="false" ht="15" hidden="false" customHeight="false" outlineLevel="0" collapsed="false">
      <c r="A52" s="30" t="n">
        <v>9</v>
      </c>
      <c r="B52" s="14" t="n">
        <f aca="false">A52*$B$47</f>
        <v>17077.5</v>
      </c>
      <c r="C52" s="14" t="n">
        <f aca="false">(INDEX(Engine!$C$75:$Y$75,1,(Assumptions!$C$4-1)*6+2)+B52)*0.05</f>
        <v>3376.66143498983</v>
      </c>
      <c r="D52" s="14" t="n">
        <f aca="false">(INDEX(Engine!$C$75:$Y$75,1,(Assumptions!$C$4-1)*6+2)+B52)*0.07</f>
        <v>4727.32600898576</v>
      </c>
      <c r="E52" s="14" t="n">
        <f aca="false">(INDEX(Engine!$C$75:$Y$75,1,(Assumptions!$C$4-1)*6+2)+B52)*0.1</f>
        <v>6753.32286997966</v>
      </c>
      <c r="F52" s="14" t="n">
        <f aca="false">(INDEX(Engine!$C$75:$Y$75,1,(Assumptions!$C$4-1)*6+2)+B52)*0.12</f>
        <v>8103.98744397559</v>
      </c>
    </row>
    <row r="53" customFormat="false" ht="15" hidden="false" customHeight="false" outlineLevel="0" collapsed="false">
      <c r="A53" s="30" t="n">
        <v>12</v>
      </c>
      <c r="B53" s="14" t="n">
        <f aca="false">A53*$B$47</f>
        <v>22770</v>
      </c>
      <c r="C53" s="14" t="n">
        <f aca="false">(INDEX(Engine!$C$75:$Y$75,1,(Assumptions!$C$4-1)*6+2)+B53)*0.05</f>
        <v>3661.28643498983</v>
      </c>
      <c r="D53" s="14" t="n">
        <f aca="false">(INDEX(Engine!$C$75:$Y$75,1,(Assumptions!$C$4-1)*6+2)+B53)*0.07</f>
        <v>5125.80100898576</v>
      </c>
      <c r="E53" s="14" t="n">
        <f aca="false">(INDEX(Engine!$C$75:$Y$75,1,(Assumptions!$C$4-1)*6+2)+B53)*0.1</f>
        <v>7322.57286997966</v>
      </c>
      <c r="F53" s="14" t="n">
        <f aca="false">(INDEX(Engine!$C$75:$Y$75,1,(Assumptions!$C$4-1)*6+2)+B53)*0.12</f>
        <v>8787.08744397559</v>
      </c>
    </row>
    <row r="55" customFormat="false" ht="15" hidden="false" customHeight="false" outlineLevel="0" collapsed="false">
      <c r="A55" s="17" t="s">
        <v>429</v>
      </c>
    </row>
  </sheetData>
  <conditionalFormatting sqref="B27:H27">
    <cfRule type="cellIs" priority="2" operator="lessThan" aboveAverage="0" equalAverage="0" bottom="0" percent="0" rank="0" text="" dxfId="0">
      <formula>0</formula>
    </cfRule>
  </conditionalFormatting>
  <conditionalFormatting sqref="B28:H28">
    <cfRule type="cellIs" priority="3" operator="lessThan" aboveAverage="0" equalAverage="0" bottom="0" percent="0" rank="0" text="" dxfId="0">
      <formula>0</formula>
    </cfRule>
  </conditionalFormatting>
  <conditionalFormatting sqref="B29:H29">
    <cfRule type="cellIs" priority="4" operator="lessThan" aboveAverage="0" equalAverage="0" bottom="0" percent="0" rank="0" text="" dxfId="0">
      <formula>0</formula>
    </cfRule>
  </conditionalFormatting>
  <conditionalFormatting sqref="B30:H30">
    <cfRule type="cellIs" priority="5" operator="lessThan" aboveAverage="0" equalAverage="0" bottom="0" percent="0" rank="0" text="" dxfId="0">
      <formula>0</formula>
    </cfRule>
  </conditionalFormatting>
  <conditionalFormatting sqref="B31:H31">
    <cfRule type="cellIs" priority="6" operator="lessThan" aboveAverage="0" equalAverage="0" bottom="0" percent="0" rank="0" text="" dxfId="0">
      <formula>0</formula>
    </cfRule>
  </conditionalFormatting>
  <conditionalFormatting sqref="B32:H32">
    <cfRule type="cellIs" priority="7" operator="lessThan" aboveAverage="0" equalAverage="0" bottom="0" percent="0" rank="0" text="" dxfId="0">
      <formula>0</formula>
    </cfRule>
  </conditionalFormatting>
  <conditionalFormatting sqref="B33:H33">
    <cfRule type="cellIs" priority="8" operator="lessThan" aboveAverage="0" equalAverage="0" bottom="0" percent="0" rank="0" text="" dxfId="0">
      <formula>0</formula>
    </cfRule>
  </conditionalFormatting>
  <conditionalFormatting sqref="B38:G38">
    <cfRule type="cellIs" priority="9" operator="lessThan" aboveAverage="0" equalAverage="0" bottom="0" percent="0" rank="0" text="" dxfId="0">
      <formula>0</formula>
    </cfRule>
  </conditionalFormatting>
  <conditionalFormatting sqref="B39:G39">
    <cfRule type="cellIs" priority="10" operator="lessThan" aboveAverage="0" equalAverage="0" bottom="0" percent="0" rank="0" text="" dxfId="0">
      <formula>0</formula>
    </cfRule>
  </conditionalFormatting>
  <conditionalFormatting sqref="B40:G40">
    <cfRule type="cellIs" priority="11" operator="lessThan" aboveAverage="0" equalAverage="0" bottom="0" percent="0" rank="0" text="" dxfId="0">
      <formula>0</formula>
    </cfRule>
  </conditionalFormatting>
  <conditionalFormatting sqref="B41:G41">
    <cfRule type="cellIs" priority="12" operator="lessThan" aboveAverage="0" equalAverage="0" bottom="0" percent="0" rank="0" text="" dxfId="0">
      <formula>0</formula>
    </cfRule>
  </conditionalFormatting>
  <conditionalFormatting sqref="B42:G42">
    <cfRule type="cellIs" priority="13" operator="lessThan" aboveAverage="0" equalAverage="0" bottom="0" percent="0" rank="0" text="" dxfId="0">
      <formula>0</formula>
    </cfRule>
  </conditionalFormatting>
  <conditionalFormatting sqref="B43:G43">
    <cfRule type="cellIs" priority="14" operator="lessThan" aboveAverage="0" equalAverage="0" bottom="0" percent="0" rank="0" text="" dxfId="0">
      <formula>0</formula>
    </cfRule>
  </conditionalFormatting>
  <conditionalFormatting sqref="B44:G44">
    <cfRule type="cellIs" priority="15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430</v>
      </c>
    </row>
    <row r="2" customFormat="false" ht="15" hidden="false" customHeight="false" outlineLevel="0" collapsed="false">
      <c r="A2" s="2" t="s">
        <v>431</v>
      </c>
    </row>
    <row r="3" customFormat="false" ht="15" hidden="false" customHeight="false" outlineLevel="0" collapsed="false">
      <c r="A3" s="4" t="str">
        <f aca="false">"Escenario: "&amp;Assumptions!$D$4</f>
        <v>Escenario: Base</v>
      </c>
    </row>
    <row r="5" customFormat="false" ht="15" hidden="false" customHeight="false" outlineLevel="0" collapsed="false">
      <c r="A5" s="5" t="s">
        <v>232</v>
      </c>
      <c r="B5" s="5" t="s">
        <v>166</v>
      </c>
      <c r="C5" s="5" t="s">
        <v>167</v>
      </c>
      <c r="D5" s="5" t="s">
        <v>168</v>
      </c>
      <c r="E5" s="5" t="s">
        <v>169</v>
      </c>
      <c r="F5" s="5" t="s">
        <v>170</v>
      </c>
    </row>
    <row r="6" customFormat="false" ht="15" hidden="false" customHeight="false" outlineLevel="0" collapsed="false">
      <c r="A6" s="33" t="s">
        <v>306</v>
      </c>
      <c r="B6" s="14" t="n">
        <f aca="false">INDEX(Engine!$C$41:$Y$41,1,(Assumptions!$C$4-1)*6+1)</f>
        <v>-27190</v>
      </c>
      <c r="C6" s="14" t="n">
        <f aca="false">INDEX(Engine!$C$41:$Y$41,1,(Assumptions!$C$4-1)*6+2)</f>
        <v>-20174.5188033425</v>
      </c>
      <c r="D6" s="14" t="n">
        <f aca="false">INDEX(Engine!$C$41:$Y$41,1,(Assumptions!$C$4-1)*6+3)</f>
        <v>-17112.9079058493</v>
      </c>
      <c r="E6" s="14" t="n">
        <f aca="false">INDEX(Engine!$C$41:$Y$41,1,(Assumptions!$C$4-1)*6+4)</f>
        <v>-16251.2970083561</v>
      </c>
      <c r="F6" s="14" t="n">
        <f aca="false">INDEX(Engine!$C$41:$Y$41,1,(Assumptions!$C$4-1)*6+5)</f>
        <v>-13849.686110863</v>
      </c>
    </row>
    <row r="7" customFormat="false" ht="15" hidden="false" customHeight="false" outlineLevel="0" collapsed="false">
      <c r="A7" s="33" t="s">
        <v>432</v>
      </c>
      <c r="B7" s="14" t="n">
        <f aca="false">INDEX(Engine!$C$53:$Y$53,1,(Assumptions!$C$4-1)*6+1)</f>
        <v>0</v>
      </c>
      <c r="C7" s="14" t="n">
        <f aca="false">INDEX(Engine!$C$53:$Y$53,1,(Assumptions!$C$4-1)*6+2)</f>
        <v>0</v>
      </c>
      <c r="D7" s="14" t="n">
        <f aca="false">INDEX(Engine!$C$53:$Y$53,1,(Assumptions!$C$4-1)*6+3)</f>
        <v>0</v>
      </c>
      <c r="E7" s="14" t="n">
        <f aca="false">INDEX(Engine!$C$53:$Y$53,1,(Assumptions!$C$4-1)*6+4)</f>
        <v>0</v>
      </c>
      <c r="F7" s="14" t="n">
        <f aca="false">INDEX(Engine!$C$53:$Y$53,1,(Assumptions!$C$4-1)*6+5)</f>
        <v>0</v>
      </c>
    </row>
    <row r="8" customFormat="false" ht="15" hidden="false" customHeight="false" outlineLevel="0" collapsed="false">
      <c r="A8" s="33" t="s">
        <v>433</v>
      </c>
      <c r="B8" s="14" t="n">
        <f aca="false">INDEX(Engine!$C$68:$Y$68,1,(Assumptions!$C$4-1)*6+1)</f>
        <v>16687.5680682052</v>
      </c>
      <c r="C8" s="14" t="n">
        <f aca="false">INDEX(Engine!$C$68:$Y$68,1,(Assumptions!$C$4-1)*6+2)</f>
        <v>17572.2120634746</v>
      </c>
      <c r="D8" s="14" t="n">
        <f aca="false">INDEX(Engine!$C$68:$Y$68,1,(Assumptions!$C$4-1)*6+3)</f>
        <v>16323.8929288057</v>
      </c>
      <c r="E8" s="14" t="n">
        <f aca="false">INDEX(Engine!$C$68:$Y$68,1,(Assumptions!$C$4-1)*6+4)</f>
        <v>15030.9786196931</v>
      </c>
      <c r="F8" s="14" t="n">
        <f aca="false">INDEX(Engine!$C$68:$Y$68,1,(Assumptions!$C$4-1)*6+5)</f>
        <v>2967.42315743146</v>
      </c>
    </row>
    <row r="9" customFormat="false" ht="15" hidden="false" customHeight="false" outlineLevel="0" collapsed="false">
      <c r="A9" s="33" t="s">
        <v>434</v>
      </c>
      <c r="B9" s="14" t="n">
        <f aca="false">INDEX(Engine!$C$42:$Y$42,1,(Assumptions!$C$4-1)*6+1)</f>
        <v>13000</v>
      </c>
      <c r="C9" s="14" t="n">
        <f aca="false">INDEX(Engine!$C$42:$Y$42,1,(Assumptions!$C$4-1)*6+2)</f>
        <v>0</v>
      </c>
      <c r="D9" s="14" t="n">
        <f aca="false">INDEX(Engine!$C$42:$Y$42,1,(Assumptions!$C$4-1)*6+3)</f>
        <v>3000</v>
      </c>
      <c r="E9" s="14" t="n">
        <f aca="false">INDEX(Engine!$C$42:$Y$42,1,(Assumptions!$C$4-1)*6+4)</f>
        <v>0</v>
      </c>
      <c r="F9" s="14" t="n">
        <f aca="false">INDEX(Engine!$C$42:$Y$42,1,(Assumptions!$C$4-1)*6+5)</f>
        <v>0</v>
      </c>
    </row>
    <row r="10" customFormat="false" ht="15" hidden="false" customHeight="false" outlineLevel="0" collapsed="false">
      <c r="A10" s="34" t="s">
        <v>435</v>
      </c>
      <c r="B10" s="7" t="n">
        <f aca="false">INDEX(Engine!$C$87:$Y$87,1,(Assumptions!$C$4-1)*6+1)</f>
        <v>-56877.5680682052</v>
      </c>
      <c r="C10" s="7" t="n">
        <f aca="false">INDEX(Engine!$C$87:$Y$87,1,(Assumptions!$C$4-1)*6+2)</f>
        <v>-37746.7308668171</v>
      </c>
      <c r="D10" s="7" t="n">
        <f aca="false">INDEX(Engine!$C$87:$Y$87,1,(Assumptions!$C$4-1)*6+3)</f>
        <v>-36436.800834655</v>
      </c>
      <c r="E10" s="7" t="n">
        <f aca="false">INDEX(Engine!$C$87:$Y$87,1,(Assumptions!$C$4-1)*6+4)</f>
        <v>-31282.2756280493</v>
      </c>
      <c r="F10" s="7" t="n">
        <f aca="false">INDEX(Engine!$C$87:$Y$87,1,(Assumptions!$C$4-1)*6+5)</f>
        <v>-16817.1092682945</v>
      </c>
    </row>
    <row r="11" customFormat="false" ht="15" hidden="false" customHeight="false" outlineLevel="0" collapsed="false">
      <c r="A11" s="33" t="s">
        <v>436</v>
      </c>
      <c r="B11" s="14" t="n">
        <f aca="false">INDEX(Engine!$C$89:$Y$89,1,(Assumptions!$C$4-1)*6+1)</f>
        <v>0</v>
      </c>
      <c r="C11" s="14" t="n">
        <f aca="false">INDEX(Engine!$C$89:$Y$89,1,(Assumptions!$C$4-1)*6+2)</f>
        <v>0</v>
      </c>
      <c r="D11" s="14" t="n">
        <f aca="false">INDEX(Engine!$C$89:$Y$89,1,(Assumptions!$C$4-1)*6+3)</f>
        <v>0</v>
      </c>
      <c r="E11" s="14" t="n">
        <f aca="false">INDEX(Engine!$C$89:$Y$89,1,(Assumptions!$C$4-1)*6+4)</f>
        <v>0</v>
      </c>
      <c r="F11" s="14" t="n">
        <f aca="false">INDEX(Engine!$C$89:$Y$89,1,(Assumptions!$C$4-1)*6+5)</f>
        <v>0</v>
      </c>
    </row>
    <row r="12" customFormat="false" ht="15" hidden="false" customHeight="false" outlineLevel="0" collapsed="false">
      <c r="A12" s="34" t="s">
        <v>437</v>
      </c>
      <c r="B12" s="7" t="n">
        <f aca="false">INDEX(Engine!$C$90:$Y$90,1,(Assumptions!$C$4-1)*6+1)</f>
        <v>-56877.5680682052</v>
      </c>
      <c r="C12" s="7" t="n">
        <f aca="false">INDEX(Engine!$C$90:$Y$90,1,(Assumptions!$C$4-1)*6+2)</f>
        <v>-37746.7308668171</v>
      </c>
      <c r="D12" s="7" t="n">
        <f aca="false">INDEX(Engine!$C$90:$Y$90,1,(Assumptions!$C$4-1)*6+3)</f>
        <v>-36436.800834655</v>
      </c>
      <c r="E12" s="7" t="n">
        <f aca="false">INDEX(Engine!$C$90:$Y$90,1,(Assumptions!$C$4-1)*6+4)</f>
        <v>-31282.2756280493</v>
      </c>
      <c r="F12" s="7" t="n">
        <f aca="false">INDEX(Engine!$C$90:$Y$90,1,(Assumptions!$C$4-1)*6+5)</f>
        <v>-16817.1092682945</v>
      </c>
    </row>
    <row r="13" customFormat="false" ht="15" hidden="false" customHeight="false" outlineLevel="0" collapsed="false">
      <c r="A13" s="33" t="s">
        <v>438</v>
      </c>
      <c r="B13" s="38" t="n">
        <f aca="false">INDEX(Engine!$C$91:$Y$91,1,(Assumptions!$C$4-1)*6+1)</f>
        <v>0.847457627118644</v>
      </c>
      <c r="C13" s="38" t="n">
        <f aca="false">INDEX(Engine!$C$91:$Y$91,1,(Assumptions!$C$4-1)*6+2)</f>
        <v>0.718184429761563</v>
      </c>
      <c r="D13" s="38" t="n">
        <f aca="false">INDEX(Engine!$C$91:$Y$91,1,(Assumptions!$C$4-1)*6+3)</f>
        <v>0.608630872679291</v>
      </c>
      <c r="E13" s="38" t="n">
        <f aca="false">INDEX(Engine!$C$91:$Y$91,1,(Assumptions!$C$4-1)*6+4)</f>
        <v>0.515788875151941</v>
      </c>
      <c r="F13" s="38" t="n">
        <f aca="false">INDEX(Engine!$C$91:$Y$91,1,(Assumptions!$C$4-1)*6+5)</f>
        <v>0.437109216230459</v>
      </c>
    </row>
    <row r="14" customFormat="false" ht="15" hidden="false" customHeight="false" outlineLevel="0" collapsed="false">
      <c r="A14" s="33" t="s">
        <v>439</v>
      </c>
      <c r="B14" s="14" t="n">
        <f aca="false">INDEX(Engine!$C$92:$Y$92,1,(Assumptions!$C$4-1)*6+1)</f>
        <v>-48201.3288713603</v>
      </c>
      <c r="C14" s="14" t="n">
        <f aca="false">INDEX(Engine!$C$92:$Y$92,1,(Assumptions!$C$4-1)*6+2)</f>
        <v>-27109.1143829482</v>
      </c>
      <c r="D14" s="14" t="n">
        <f aca="false">INDEX(Engine!$C$92:$Y$92,1,(Assumptions!$C$4-1)*6+3)</f>
        <v>-22176.5618896376</v>
      </c>
      <c r="E14" s="14" t="n">
        <f aca="false">INDEX(Engine!$C$92:$Y$92,1,(Assumptions!$C$4-1)*6+4)</f>
        <v>-16135.0497583845</v>
      </c>
      <c r="F14" s="14" t="n">
        <f aca="false">INDEX(Engine!$C$92:$Y$92,1,(Assumptions!$C$4-1)*6+5)</f>
        <v>-7350.91345152617</v>
      </c>
    </row>
    <row r="15" customFormat="false" ht="15" hidden="false" customHeight="false" outlineLevel="0" collapsed="false">
      <c r="A15" s="33" t="s">
        <v>328</v>
      </c>
      <c r="B15" s="14" t="n">
        <f aca="false">INDEX(Engine!$C$88:$Y$88,1,(Assumptions!$C$4-1)*6+1)</f>
        <v>-56877.5680682052</v>
      </c>
      <c r="C15" s="14" t="n">
        <f aca="false">INDEX(Engine!$C$88:$Y$88,1,(Assumptions!$C$4-1)*6+2)</f>
        <v>-94624.2989350223</v>
      </c>
      <c r="D15" s="14" t="n">
        <f aca="false">INDEX(Engine!$C$88:$Y$88,1,(Assumptions!$C$4-1)*6+3)</f>
        <v>-131061.099769677</v>
      </c>
      <c r="E15" s="14" t="n">
        <f aca="false">INDEX(Engine!$C$88:$Y$88,1,(Assumptions!$C$4-1)*6+4)</f>
        <v>-162343.375397727</v>
      </c>
      <c r="F15" s="14" t="n">
        <f aca="false">INDEX(Engine!$C$88:$Y$88,1,(Assumptions!$C$4-1)*6+5)</f>
        <v>-179160.484666021</v>
      </c>
    </row>
    <row r="16" customFormat="false" ht="15" hidden="false" customHeight="false" outlineLevel="0" collapsed="false">
      <c r="A16" s="33" t="s">
        <v>440</v>
      </c>
      <c r="B16" s="14" t="n">
        <f aca="false">INDEX(Engine!$C$94:$Y$94,1,(Assumptions!$C$4-1)*6+1)</f>
        <v>-22342.5</v>
      </c>
      <c r="C16" s="14" t="n">
        <f aca="false">INDEX(Engine!$C$94:$Y$94,1,(Assumptions!$C$4-1)*6+2)</f>
        <v>-17080.8891025068</v>
      </c>
      <c r="D16" s="14" t="n">
        <f aca="false">INDEX(Engine!$C$94:$Y$94,1,(Assumptions!$C$4-1)*6+3)</f>
        <v>-15234.680929387</v>
      </c>
      <c r="E16" s="14" t="n">
        <f aca="false">INDEX(Engine!$C$94:$Y$94,1,(Assumptions!$C$4-1)*6+4)</f>
        <v>-14588.4727562671</v>
      </c>
      <c r="F16" s="14" t="n">
        <f aca="false">INDEX(Engine!$C$94:$Y$94,1,(Assumptions!$C$4-1)*6+5)</f>
        <v>-12787.2645831472</v>
      </c>
    </row>
    <row r="17" customFormat="false" ht="15" hidden="false" customHeight="false" outlineLevel="0" collapsed="false">
      <c r="A17" s="33" t="s">
        <v>441</v>
      </c>
      <c r="B17" s="14" t="n">
        <f aca="false">INDEX(Engine!$C$95:$Y$95,1,(Assumptions!$C$4-1)*6+1)</f>
        <v>27087.5680682052</v>
      </c>
      <c r="C17" s="14" t="n">
        <f aca="false">INDEX(Engine!$C$95:$Y$95,1,(Assumptions!$C$4-1)*6+2)</f>
        <v>42059.7801316798</v>
      </c>
      <c r="D17" s="14" t="n">
        <f aca="false">INDEX(Engine!$C$95:$Y$95,1,(Assumptions!$C$4-1)*6+3)</f>
        <v>58183.6730604855</v>
      </c>
      <c r="E17" s="14" t="n">
        <f aca="false">INDEX(Engine!$C$95:$Y$95,1,(Assumptions!$C$4-1)*6+4)</f>
        <v>70014.6516801786</v>
      </c>
      <c r="F17" s="14" t="n">
        <f aca="false">INDEX(Engine!$C$95:$Y$95,1,(Assumptions!$C$4-1)*6+5)</f>
        <v>69782.0748376101</v>
      </c>
    </row>
    <row r="18" customFormat="false" ht="15" hidden="false" customHeight="false" outlineLevel="0" collapsed="false">
      <c r="A18" s="34" t="s">
        <v>442</v>
      </c>
      <c r="B18" s="8" t="n">
        <f aca="false">INDEX(Engine!$C$96:$Y$96,1,(Assumptions!$C$4-1)*6+1)</f>
        <v>-1.64964975399362</v>
      </c>
      <c r="C18" s="8" t="n">
        <f aca="false">INDEX(Engine!$C$96:$Y$96,1,(Assumptions!$C$4-1)*6+2)</f>
        <v>-0.494043214878782</v>
      </c>
      <c r="D18" s="8" t="n">
        <f aca="false">INDEX(Engine!$C$96:$Y$96,1,(Assumptions!$C$4-1)*6+3)</f>
        <v>-0.30395363376364</v>
      </c>
      <c r="E18" s="8" t="n">
        <f aca="false">INDEX(Engine!$C$96:$Y$96,1,(Assumptions!$C$4-1)*6+4)</f>
        <v>-0.227592252641031</v>
      </c>
      <c r="F18" s="8" t="n">
        <f aca="false">INDEX(Engine!$C$96:$Y$96,1,(Assumptions!$C$4-1)*6+5)</f>
        <v>-0.182940829898762</v>
      </c>
    </row>
    <row r="21" customFormat="false" ht="15" hidden="false" customHeight="false" outlineLevel="0" collapsed="false">
      <c r="A21" s="3" t="s">
        <v>443</v>
      </c>
      <c r="B21" s="7" t="n">
        <f aca="false">SUM(B14:F14)</f>
        <v>-120972.968353857</v>
      </c>
    </row>
    <row r="22" customFormat="false" ht="15" hidden="false" customHeight="false" outlineLevel="0" collapsed="false">
      <c r="A22" s="3" t="s">
        <v>444</v>
      </c>
      <c r="B22" s="8" t="str">
        <f aca="false">IFERROR(IRR(B12:F12),"no calculable")</f>
        <v>no calculable</v>
      </c>
    </row>
    <row r="23" customFormat="false" ht="15" hidden="false" customHeight="false" outlineLevel="0" collapsed="false">
      <c r="A23" s="3" t="s">
        <v>445</v>
      </c>
      <c r="B23" s="8" t="str">
        <f aca="false">IFERROR(IRR(B10:F10),"no calculable")</f>
        <v>no calculable</v>
      </c>
    </row>
    <row r="24" customFormat="false" ht="15" hidden="false" customHeight="false" outlineLevel="0" collapsed="false">
      <c r="A24" s="3" t="s">
        <v>446</v>
      </c>
      <c r="B24" s="9" t="str">
        <f aca="false">IFERROR(1/(1/MIN(INDEX(Engine!$C$93:$Y$93,1,(Assumptions!$C$4-1)*6+1):INDEX(Engine!$C$93:$Y$93,1,(Assumptions!$C$4-1)*6+5))),"no se recupera en 2027-2031")</f>
        <v>no se recupera en 2027-2031</v>
      </c>
    </row>
    <row r="25" customFormat="false" ht="15" hidden="false" customHeight="false" outlineLevel="0" collapsed="false">
      <c r="A25" s="3" t="s">
        <v>447</v>
      </c>
      <c r="B25" s="7" t="n">
        <f aca="false">MIN(B15:F15)</f>
        <v>-179160.484666021</v>
      </c>
    </row>
    <row r="26" customFormat="false" ht="15" hidden="false" customHeight="false" outlineLevel="0" collapsed="false">
      <c r="A26" s="3" t="s">
        <v>448</v>
      </c>
      <c r="B26" s="39" t="n">
        <f aca="false">IFERROR(SUMIF(B14:F14,"&gt;0")/-SUMIF(B14:F14,"&lt;0"),"n/a")</f>
        <v>0</v>
      </c>
    </row>
    <row r="27" customFormat="false" ht="15" hidden="false" customHeight="false" outlineLevel="0" collapsed="false">
      <c r="A27" s="3" t="s">
        <v>449</v>
      </c>
      <c r="B27" s="7" t="n">
        <f aca="false">MAX(0,B21)*Assumptions!$C$29</f>
        <v>0</v>
      </c>
      <c r="C27" s="17" t="str">
        <f aca="false">"Royalties 2027-2031: "&amp;TEXT(INDEX(Engine!$C$38:$Y$38,1,(Assumptions!$C$4-1)*6+1)+INDEX(Engine!$C$38:$Y$38,1,(Assumptions!$C$4-1)*6+2)+INDEX(Engine!$C$38:$Y$38,1,(Assumptions!$C$4-1)*6+3)+INDEX(Engine!$C$38:$Y$38,1,(Assumptions!$C$4-1)*6+4)+INDEX(Engine!$C$38:$Y$38,1,(Assumptions!$C$4-1)*6+5),"#,##0")&amp;" €"</f>
        <v>Royalties 2027-2031: 0 €</v>
      </c>
    </row>
    <row r="29" customFormat="false" ht="15" hidden="false" customHeight="false" outlineLevel="0" collapsed="false">
      <c r="A29" s="17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70"/>
  </cols>
  <sheetData>
    <row r="1" customFormat="false" ht="19.7" hidden="false" customHeight="false" outlineLevel="0" collapsed="false">
      <c r="A1" s="1" t="s">
        <v>451</v>
      </c>
    </row>
    <row r="4" customFormat="false" ht="15" hidden="false" customHeight="false" outlineLevel="0" collapsed="false">
      <c r="A4" s="5" t="s">
        <v>452</v>
      </c>
      <c r="B4" s="5" t="s">
        <v>453</v>
      </c>
      <c r="C4" s="5" t="s">
        <v>454</v>
      </c>
      <c r="D4" s="5" t="s">
        <v>455</v>
      </c>
      <c r="E4" s="5" t="s">
        <v>456</v>
      </c>
    </row>
    <row r="5" customFormat="false" ht="15" hidden="false" customHeight="false" outlineLevel="0" collapsed="false">
      <c r="A5" s="40" t="s">
        <v>457</v>
      </c>
      <c r="B5" s="40" t="s">
        <v>458</v>
      </c>
      <c r="C5" s="40" t="s">
        <v>459</v>
      </c>
      <c r="D5" s="40" t="s">
        <v>460</v>
      </c>
      <c r="E5" s="40" t="s">
        <v>461</v>
      </c>
    </row>
    <row r="6" customFormat="false" ht="15" hidden="false" customHeight="false" outlineLevel="0" collapsed="false">
      <c r="A6" s="40" t="s">
        <v>462</v>
      </c>
      <c r="B6" s="40" t="s">
        <v>463</v>
      </c>
      <c r="C6" s="40" t="s">
        <v>459</v>
      </c>
      <c r="D6" s="40" t="s">
        <v>464</v>
      </c>
      <c r="E6" s="40" t="s">
        <v>465</v>
      </c>
    </row>
    <row r="7" customFormat="false" ht="15" hidden="false" customHeight="false" outlineLevel="0" collapsed="false">
      <c r="A7" s="40" t="s">
        <v>466</v>
      </c>
      <c r="B7" s="40" t="s">
        <v>467</v>
      </c>
      <c r="C7" s="40" t="s">
        <v>468</v>
      </c>
      <c r="D7" s="40" t="s">
        <v>469</v>
      </c>
      <c r="E7" s="40" t="s">
        <v>470</v>
      </c>
    </row>
    <row r="8" customFormat="false" ht="15" hidden="false" customHeight="false" outlineLevel="0" collapsed="false">
      <c r="A8" s="40" t="s">
        <v>471</v>
      </c>
      <c r="B8" s="40" t="s">
        <v>472</v>
      </c>
      <c r="C8" s="40" t="s">
        <v>468</v>
      </c>
      <c r="D8" s="40" t="s">
        <v>473</v>
      </c>
      <c r="E8" s="40" t="s">
        <v>474</v>
      </c>
    </row>
    <row r="9" customFormat="false" ht="15" hidden="false" customHeight="false" outlineLevel="0" collapsed="false">
      <c r="A9" s="40" t="s">
        <v>475</v>
      </c>
      <c r="B9" s="40" t="s">
        <v>476</v>
      </c>
      <c r="C9" s="40" t="s">
        <v>468</v>
      </c>
      <c r="D9" s="40" t="s">
        <v>477</v>
      </c>
      <c r="E9" s="40" t="s">
        <v>478</v>
      </c>
    </row>
    <row r="10" customFormat="false" ht="15" hidden="false" customHeight="false" outlineLevel="0" collapsed="false">
      <c r="A10" s="40" t="s">
        <v>479</v>
      </c>
      <c r="B10" s="40" t="s">
        <v>480</v>
      </c>
      <c r="C10" s="40" t="s">
        <v>468</v>
      </c>
      <c r="D10" s="40" t="s">
        <v>481</v>
      </c>
      <c r="E10" s="40" t="s">
        <v>482</v>
      </c>
    </row>
    <row r="11" customFormat="false" ht="15" hidden="false" customHeight="false" outlineLevel="0" collapsed="false">
      <c r="A11" s="40" t="s">
        <v>483</v>
      </c>
      <c r="B11" s="40" t="s">
        <v>484</v>
      </c>
      <c r="C11" s="40" t="s">
        <v>485</v>
      </c>
      <c r="D11" s="40" t="s">
        <v>486</v>
      </c>
      <c r="E11" s="40" t="s">
        <v>487</v>
      </c>
    </row>
    <row r="12" customFormat="false" ht="15" hidden="false" customHeight="false" outlineLevel="0" collapsed="false">
      <c r="A12" s="40" t="s">
        <v>488</v>
      </c>
      <c r="B12" s="40" t="s">
        <v>489</v>
      </c>
      <c r="C12" s="40" t="s">
        <v>485</v>
      </c>
      <c r="D12" s="40" t="s">
        <v>490</v>
      </c>
      <c r="E12" s="40" t="s">
        <v>491</v>
      </c>
    </row>
    <row r="13" customFormat="false" ht="15" hidden="false" customHeight="false" outlineLevel="0" collapsed="false">
      <c r="A13" s="40" t="s">
        <v>492</v>
      </c>
      <c r="B13" s="40" t="s">
        <v>493</v>
      </c>
      <c r="C13" s="40" t="s">
        <v>485</v>
      </c>
      <c r="D13" s="40" t="s">
        <v>494</v>
      </c>
      <c r="E13" s="40" t="s">
        <v>495</v>
      </c>
    </row>
    <row r="14" customFormat="false" ht="15" hidden="false" customHeight="false" outlineLevel="0" collapsed="false">
      <c r="A14" s="40" t="s">
        <v>496</v>
      </c>
      <c r="B14" s="40" t="s">
        <v>497</v>
      </c>
      <c r="C14" s="40" t="s">
        <v>468</v>
      </c>
      <c r="D14" s="40" t="s">
        <v>498</v>
      </c>
      <c r="E14" s="40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500</v>
      </c>
    </row>
    <row r="2" customFormat="false" ht="15" hidden="false" customHeight="false" outlineLevel="0" collapsed="false">
      <c r="A2" s="2" t="s">
        <v>501</v>
      </c>
    </row>
    <row r="4" customFormat="false" ht="15" hidden="false" customHeight="false" outlineLevel="0" collapsed="false">
      <c r="A4" s="5" t="s">
        <v>452</v>
      </c>
      <c r="B4" s="5" t="s">
        <v>502</v>
      </c>
      <c r="C4" s="5" t="s">
        <v>503</v>
      </c>
      <c r="D4" s="5" t="s">
        <v>504</v>
      </c>
      <c r="E4" s="5" t="s">
        <v>42</v>
      </c>
      <c r="F4" s="5" t="s">
        <v>505</v>
      </c>
    </row>
    <row r="5" customFormat="false" ht="23.85" hidden="false" customHeight="false" outlineLevel="0" collapsed="false">
      <c r="A5" s="40" t="s">
        <v>506</v>
      </c>
      <c r="B5" s="40" t="s">
        <v>507</v>
      </c>
      <c r="C5" s="40" t="s">
        <v>508</v>
      </c>
      <c r="D5" s="40" t="s">
        <v>509</v>
      </c>
      <c r="E5" s="40" t="s">
        <v>510</v>
      </c>
      <c r="F5" s="40" t="s">
        <v>511</v>
      </c>
    </row>
    <row r="6" customFormat="false" ht="23.85" hidden="false" customHeight="false" outlineLevel="0" collapsed="false">
      <c r="A6" s="40" t="s">
        <v>512</v>
      </c>
      <c r="B6" s="40" t="s">
        <v>513</v>
      </c>
      <c r="C6" s="40" t="s">
        <v>508</v>
      </c>
      <c r="D6" s="40" t="s">
        <v>514</v>
      </c>
      <c r="E6" s="40" t="s">
        <v>60</v>
      </c>
      <c r="F6" s="40" t="s">
        <v>515</v>
      </c>
    </row>
    <row r="7" customFormat="false" ht="23.85" hidden="false" customHeight="false" outlineLevel="0" collapsed="false">
      <c r="A7" s="40" t="s">
        <v>516</v>
      </c>
      <c r="B7" s="40" t="s">
        <v>517</v>
      </c>
      <c r="C7" s="40" t="s">
        <v>518</v>
      </c>
      <c r="D7" s="40" t="s">
        <v>519</v>
      </c>
      <c r="E7" s="40" t="s">
        <v>520</v>
      </c>
      <c r="F7" s="40" t="s">
        <v>521</v>
      </c>
    </row>
    <row r="8" customFormat="false" ht="23.85" hidden="false" customHeight="false" outlineLevel="0" collapsed="false">
      <c r="A8" s="40" t="s">
        <v>522</v>
      </c>
      <c r="B8" s="40" t="s">
        <v>523</v>
      </c>
      <c r="C8" s="40" t="s">
        <v>508</v>
      </c>
      <c r="D8" s="40" t="s">
        <v>524</v>
      </c>
      <c r="E8" s="40" t="s">
        <v>60</v>
      </c>
      <c r="F8" s="40" t="s">
        <v>525</v>
      </c>
    </row>
    <row r="9" customFormat="false" ht="23.85" hidden="false" customHeight="false" outlineLevel="0" collapsed="false">
      <c r="A9" s="40" t="s">
        <v>526</v>
      </c>
      <c r="B9" s="40" t="s">
        <v>527</v>
      </c>
      <c r="C9" s="40" t="s">
        <v>508</v>
      </c>
      <c r="D9" s="40" t="s">
        <v>528</v>
      </c>
      <c r="E9" s="40" t="s">
        <v>529</v>
      </c>
      <c r="F9" s="40" t="s">
        <v>530</v>
      </c>
    </row>
    <row r="10" customFormat="false" ht="23.85" hidden="false" customHeight="false" outlineLevel="0" collapsed="false">
      <c r="A10" s="40" t="s">
        <v>531</v>
      </c>
      <c r="B10" s="40" t="s">
        <v>532</v>
      </c>
      <c r="C10" s="40" t="s">
        <v>508</v>
      </c>
      <c r="D10" s="40" t="s">
        <v>533</v>
      </c>
      <c r="E10" s="40" t="s">
        <v>60</v>
      </c>
      <c r="F10" s="40" t="s">
        <v>534</v>
      </c>
    </row>
    <row r="11" customFormat="false" ht="35.05" hidden="false" customHeight="false" outlineLevel="0" collapsed="false">
      <c r="A11" s="40" t="s">
        <v>535</v>
      </c>
      <c r="B11" s="40" t="s">
        <v>536</v>
      </c>
      <c r="C11" s="40" t="s">
        <v>537</v>
      </c>
      <c r="D11" s="40" t="s">
        <v>538</v>
      </c>
      <c r="E11" s="40" t="s">
        <v>539</v>
      </c>
      <c r="F11" s="40" t="s">
        <v>540</v>
      </c>
    </row>
    <row r="12" customFormat="false" ht="23.85" hidden="false" customHeight="false" outlineLevel="0" collapsed="false">
      <c r="A12" s="40" t="s">
        <v>541</v>
      </c>
      <c r="B12" s="40" t="s">
        <v>542</v>
      </c>
      <c r="C12" s="40" t="s">
        <v>508</v>
      </c>
      <c r="D12" s="40" t="s">
        <v>543</v>
      </c>
      <c r="E12" s="40" t="s">
        <v>60</v>
      </c>
      <c r="F12" s="40" t="s">
        <v>544</v>
      </c>
    </row>
    <row r="13" customFormat="false" ht="23.85" hidden="false" customHeight="false" outlineLevel="0" collapsed="false">
      <c r="A13" s="40" t="s">
        <v>545</v>
      </c>
      <c r="B13" s="40" t="s">
        <v>546</v>
      </c>
      <c r="C13" s="40" t="s">
        <v>547</v>
      </c>
      <c r="D13" s="40" t="s">
        <v>548</v>
      </c>
      <c r="E13" s="40" t="s">
        <v>60</v>
      </c>
      <c r="F13" s="40" t="s">
        <v>549</v>
      </c>
    </row>
    <row r="14" customFormat="false" ht="23.85" hidden="false" customHeight="false" outlineLevel="0" collapsed="false">
      <c r="A14" s="40" t="s">
        <v>550</v>
      </c>
      <c r="B14" s="40" t="s">
        <v>551</v>
      </c>
      <c r="C14" s="40" t="s">
        <v>508</v>
      </c>
      <c r="D14" s="40" t="s">
        <v>552</v>
      </c>
      <c r="E14" s="40" t="s">
        <v>60</v>
      </c>
      <c r="F14" s="40" t="s">
        <v>553</v>
      </c>
    </row>
    <row r="15" customFormat="false" ht="15" hidden="false" customHeight="false" outlineLevel="0" collapsed="false">
      <c r="A15" s="40" t="s">
        <v>554</v>
      </c>
      <c r="B15" s="40" t="s">
        <v>555</v>
      </c>
      <c r="C15" s="40" t="s">
        <v>508</v>
      </c>
      <c r="D15" s="40" t="s">
        <v>556</v>
      </c>
      <c r="E15" s="40" t="s">
        <v>60</v>
      </c>
      <c r="F15" s="40" t="s">
        <v>557</v>
      </c>
    </row>
    <row r="16" customFormat="false" ht="23.85" hidden="false" customHeight="false" outlineLevel="0" collapsed="false">
      <c r="A16" s="40" t="s">
        <v>558</v>
      </c>
      <c r="B16" s="40" t="s">
        <v>559</v>
      </c>
      <c r="C16" s="40" t="s">
        <v>508</v>
      </c>
      <c r="D16" s="40" t="s">
        <v>560</v>
      </c>
      <c r="E16" s="40" t="s">
        <v>60</v>
      </c>
      <c r="F16" s="40" t="s">
        <v>561</v>
      </c>
    </row>
    <row r="17" customFormat="false" ht="23.85" hidden="false" customHeight="false" outlineLevel="0" collapsed="false">
      <c r="A17" s="40" t="s">
        <v>562</v>
      </c>
      <c r="B17" s="40" t="s">
        <v>563</v>
      </c>
      <c r="C17" s="40" t="s">
        <v>508</v>
      </c>
      <c r="D17" s="40" t="s">
        <v>564</v>
      </c>
      <c r="E17" s="40" t="s">
        <v>565</v>
      </c>
      <c r="F17" s="40" t="s">
        <v>566</v>
      </c>
    </row>
    <row r="18" customFormat="false" ht="35.05" hidden="false" customHeight="false" outlineLevel="0" collapsed="false">
      <c r="A18" s="40" t="s">
        <v>56</v>
      </c>
      <c r="B18" s="40" t="s">
        <v>567</v>
      </c>
      <c r="C18" s="40" t="s">
        <v>568</v>
      </c>
      <c r="D18" s="40" t="s">
        <v>569</v>
      </c>
      <c r="E18" s="40" t="s">
        <v>53</v>
      </c>
      <c r="F18" s="40" t="s">
        <v>570</v>
      </c>
    </row>
    <row r="19" customFormat="false" ht="23.85" hidden="false" customHeight="false" outlineLevel="0" collapsed="false">
      <c r="A19" s="40" t="s">
        <v>571</v>
      </c>
      <c r="B19" s="40" t="s">
        <v>572</v>
      </c>
      <c r="C19" s="40" t="s">
        <v>568</v>
      </c>
      <c r="D19" s="40" t="s">
        <v>573</v>
      </c>
      <c r="E19" s="40" t="s">
        <v>60</v>
      </c>
      <c r="F19" s="40" t="s">
        <v>574</v>
      </c>
    </row>
    <row r="20" customFormat="false" ht="23.85" hidden="false" customHeight="false" outlineLevel="0" collapsed="false">
      <c r="A20" s="40" t="s">
        <v>575</v>
      </c>
      <c r="B20" s="40" t="s">
        <v>576</v>
      </c>
      <c r="C20" s="40" t="s">
        <v>568</v>
      </c>
      <c r="D20" s="40" t="s">
        <v>577</v>
      </c>
      <c r="E20" s="40" t="s">
        <v>53</v>
      </c>
      <c r="F20" s="40" t="s">
        <v>578</v>
      </c>
    </row>
    <row r="21" customFormat="false" ht="23.85" hidden="false" customHeight="false" outlineLevel="0" collapsed="false">
      <c r="A21" s="40" t="s">
        <v>579</v>
      </c>
      <c r="B21" s="40" t="s">
        <v>580</v>
      </c>
      <c r="C21" s="40" t="s">
        <v>568</v>
      </c>
      <c r="D21" s="40" t="s">
        <v>581</v>
      </c>
      <c r="E21" s="40" t="s">
        <v>53</v>
      </c>
      <c r="F21" s="40" t="s">
        <v>582</v>
      </c>
    </row>
    <row r="22" customFormat="false" ht="23.85" hidden="false" customHeight="false" outlineLevel="0" collapsed="false">
      <c r="A22" s="40" t="s">
        <v>583</v>
      </c>
      <c r="B22" s="40" t="s">
        <v>584</v>
      </c>
      <c r="C22" s="40" t="s">
        <v>568</v>
      </c>
      <c r="D22" s="40" t="s">
        <v>585</v>
      </c>
      <c r="E22" s="40" t="s">
        <v>53</v>
      </c>
      <c r="F22" s="40" t="s">
        <v>586</v>
      </c>
    </row>
    <row r="23" customFormat="false" ht="23.85" hidden="false" customHeight="false" outlineLevel="0" collapsed="false">
      <c r="A23" s="40" t="s">
        <v>587</v>
      </c>
      <c r="B23" s="40" t="s">
        <v>588</v>
      </c>
      <c r="C23" s="40" t="s">
        <v>589</v>
      </c>
      <c r="D23" s="40" t="s">
        <v>590</v>
      </c>
      <c r="E23" s="40" t="s">
        <v>591</v>
      </c>
      <c r="F23" s="40" t="s">
        <v>592</v>
      </c>
    </row>
    <row r="24" customFormat="false" ht="23.85" hidden="false" customHeight="false" outlineLevel="0" collapsed="false">
      <c r="A24" s="40" t="s">
        <v>593</v>
      </c>
      <c r="B24" s="40" t="s">
        <v>594</v>
      </c>
      <c r="C24" s="40" t="s">
        <v>508</v>
      </c>
      <c r="D24" s="40" t="s">
        <v>595</v>
      </c>
      <c r="E24" s="40" t="s">
        <v>596</v>
      </c>
      <c r="F24" s="40" t="s">
        <v>597</v>
      </c>
    </row>
    <row r="25" customFormat="false" ht="35.05" hidden="false" customHeight="false" outlineLevel="0" collapsed="false">
      <c r="A25" s="40" t="s">
        <v>598</v>
      </c>
      <c r="B25" s="40" t="s">
        <v>599</v>
      </c>
      <c r="C25" s="40" t="s">
        <v>508</v>
      </c>
      <c r="D25" s="40" t="s">
        <v>600</v>
      </c>
      <c r="E25" s="40" t="s">
        <v>601</v>
      </c>
      <c r="F25" s="40" t="s">
        <v>602</v>
      </c>
    </row>
    <row r="26" customFormat="false" ht="23.85" hidden="false" customHeight="false" outlineLevel="0" collapsed="false">
      <c r="A26" s="40" t="s">
        <v>603</v>
      </c>
      <c r="B26" s="40" t="s">
        <v>604</v>
      </c>
      <c r="C26" s="40" t="s">
        <v>508</v>
      </c>
      <c r="D26" s="40" t="s">
        <v>605</v>
      </c>
      <c r="E26" s="40" t="s">
        <v>606</v>
      </c>
      <c r="F26" s="40" t="s">
        <v>607</v>
      </c>
    </row>
    <row r="27" customFormat="false" ht="23.85" hidden="false" customHeight="false" outlineLevel="0" collapsed="false">
      <c r="A27" s="40" t="s">
        <v>608</v>
      </c>
      <c r="B27" s="40" t="s">
        <v>609</v>
      </c>
      <c r="C27" s="40" t="s">
        <v>508</v>
      </c>
      <c r="D27" s="40" t="s">
        <v>610</v>
      </c>
      <c r="E27" s="40" t="s">
        <v>60</v>
      </c>
      <c r="F27" s="40" t="s">
        <v>611</v>
      </c>
    </row>
    <row r="28" customFormat="false" ht="35.05" hidden="false" customHeight="false" outlineLevel="0" collapsed="false">
      <c r="A28" s="40" t="s">
        <v>612</v>
      </c>
      <c r="B28" s="40" t="s">
        <v>613</v>
      </c>
      <c r="C28" s="40" t="s">
        <v>614</v>
      </c>
      <c r="D28" s="40" t="s">
        <v>615</v>
      </c>
      <c r="E28" s="40" t="s">
        <v>53</v>
      </c>
      <c r="F28" s="40" t="s">
        <v>616</v>
      </c>
    </row>
    <row r="29" customFormat="false" ht="23.85" hidden="false" customHeight="false" outlineLevel="0" collapsed="false">
      <c r="A29" s="40" t="s">
        <v>617</v>
      </c>
      <c r="B29" s="40" t="s">
        <v>618</v>
      </c>
      <c r="C29" s="40" t="s">
        <v>568</v>
      </c>
      <c r="D29" s="40" t="s">
        <v>619</v>
      </c>
      <c r="E29" s="40" t="s">
        <v>620</v>
      </c>
      <c r="F29" s="40" t="s">
        <v>621</v>
      </c>
    </row>
    <row r="30" customFormat="false" ht="23.85" hidden="false" customHeight="false" outlineLevel="0" collapsed="false">
      <c r="A30" s="40" t="s">
        <v>622</v>
      </c>
      <c r="B30" s="40" t="s">
        <v>623</v>
      </c>
      <c r="C30" s="40" t="s">
        <v>568</v>
      </c>
      <c r="D30" s="40" t="s">
        <v>624</v>
      </c>
      <c r="E30" s="40" t="s">
        <v>53</v>
      </c>
      <c r="F30" s="40" t="s">
        <v>625</v>
      </c>
    </row>
    <row r="31" customFormat="false" ht="23.85" hidden="false" customHeight="false" outlineLevel="0" collapsed="false">
      <c r="A31" s="40" t="s">
        <v>626</v>
      </c>
      <c r="B31" s="40" t="s">
        <v>627</v>
      </c>
      <c r="C31" s="40" t="s">
        <v>568</v>
      </c>
      <c r="D31" s="40" t="s">
        <v>628</v>
      </c>
      <c r="E31" s="40" t="s">
        <v>53</v>
      </c>
      <c r="F31" s="40" t="s">
        <v>629</v>
      </c>
    </row>
    <row r="32" customFormat="false" ht="23.85" hidden="false" customHeight="false" outlineLevel="0" collapsed="false">
      <c r="A32" s="40" t="s">
        <v>630</v>
      </c>
      <c r="B32" s="40" t="s">
        <v>631</v>
      </c>
      <c r="C32" s="40" t="s">
        <v>568</v>
      </c>
      <c r="D32" s="40" t="s">
        <v>632</v>
      </c>
      <c r="E32" s="40" t="s">
        <v>53</v>
      </c>
      <c r="F32" s="40" t="s">
        <v>633</v>
      </c>
    </row>
    <row r="33" customFormat="false" ht="23.85" hidden="false" customHeight="false" outlineLevel="0" collapsed="false">
      <c r="A33" s="40" t="s">
        <v>634</v>
      </c>
      <c r="B33" s="40" t="s">
        <v>635</v>
      </c>
      <c r="C33" s="40" t="s">
        <v>568</v>
      </c>
      <c r="D33" s="40" t="s">
        <v>636</v>
      </c>
      <c r="E33" s="40" t="s">
        <v>637</v>
      </c>
      <c r="F33" s="40" t="s">
        <v>638</v>
      </c>
    </row>
    <row r="34" customFormat="false" ht="15" hidden="false" customHeight="false" outlineLevel="0" collapsed="false">
      <c r="A34" s="40" t="s">
        <v>639</v>
      </c>
      <c r="B34" s="40" t="s">
        <v>640</v>
      </c>
      <c r="C34" s="40" t="s">
        <v>508</v>
      </c>
      <c r="D34" s="40" t="s">
        <v>641</v>
      </c>
      <c r="E34" s="40" t="s">
        <v>53</v>
      </c>
      <c r="F34" s="40" t="s">
        <v>642</v>
      </c>
    </row>
    <row r="35" customFormat="false" ht="23.85" hidden="false" customHeight="false" outlineLevel="0" collapsed="false">
      <c r="A35" s="40" t="s">
        <v>643</v>
      </c>
      <c r="B35" s="40" t="s">
        <v>644</v>
      </c>
      <c r="C35" s="40" t="s">
        <v>568</v>
      </c>
      <c r="D35" s="40" t="s">
        <v>645</v>
      </c>
      <c r="E35" s="40" t="s">
        <v>60</v>
      </c>
      <c r="F35" s="40" t="s">
        <v>646</v>
      </c>
    </row>
    <row r="36" customFormat="false" ht="23.85" hidden="false" customHeight="false" outlineLevel="0" collapsed="false">
      <c r="A36" s="40" t="s">
        <v>647</v>
      </c>
      <c r="B36" s="40" t="s">
        <v>648</v>
      </c>
      <c r="C36" s="40" t="s">
        <v>649</v>
      </c>
      <c r="D36" s="40" t="s">
        <v>650</v>
      </c>
      <c r="E36" s="40" t="s">
        <v>60</v>
      </c>
      <c r="F36" s="40" t="s">
        <v>651</v>
      </c>
    </row>
    <row r="37" customFormat="false" ht="23.85" hidden="false" customHeight="false" outlineLevel="0" collapsed="false">
      <c r="A37" s="40" t="s">
        <v>652</v>
      </c>
      <c r="B37" s="40" t="s">
        <v>653</v>
      </c>
      <c r="C37" s="40" t="s">
        <v>568</v>
      </c>
      <c r="D37" s="40" t="s">
        <v>654</v>
      </c>
      <c r="E37" s="40" t="s">
        <v>655</v>
      </c>
      <c r="F37" s="40" t="s">
        <v>656</v>
      </c>
    </row>
    <row r="38" customFormat="false" ht="15" hidden="false" customHeight="false" outlineLevel="0" collapsed="false">
      <c r="A38" s="40" t="s">
        <v>657</v>
      </c>
      <c r="B38" s="40" t="s">
        <v>658</v>
      </c>
      <c r="C38" s="40" t="s">
        <v>508</v>
      </c>
      <c r="D38" s="40" t="s">
        <v>659</v>
      </c>
      <c r="E38" s="40" t="s">
        <v>565</v>
      </c>
      <c r="F38" s="40" t="s">
        <v>660</v>
      </c>
    </row>
    <row r="39" customFormat="false" ht="23.85" hidden="false" customHeight="false" outlineLevel="0" collapsed="false">
      <c r="A39" s="40" t="s">
        <v>661</v>
      </c>
      <c r="B39" s="40" t="s">
        <v>662</v>
      </c>
      <c r="C39" s="40" t="s">
        <v>508</v>
      </c>
      <c r="D39" s="40" t="s">
        <v>663</v>
      </c>
      <c r="E39" s="40" t="s">
        <v>60</v>
      </c>
      <c r="F39" s="40" t="s">
        <v>664</v>
      </c>
    </row>
    <row r="40" customFormat="false" ht="23.85" hidden="false" customHeight="false" outlineLevel="0" collapsed="false">
      <c r="A40" s="40" t="s">
        <v>665</v>
      </c>
      <c r="B40" s="40" t="s">
        <v>666</v>
      </c>
      <c r="C40" s="40" t="s">
        <v>667</v>
      </c>
      <c r="D40" s="40" t="s">
        <v>668</v>
      </c>
      <c r="E40" s="40" t="s">
        <v>53</v>
      </c>
      <c r="F40" s="40" t="s">
        <v>669</v>
      </c>
    </row>
    <row r="41" customFormat="false" ht="23.85" hidden="false" customHeight="false" outlineLevel="0" collapsed="false">
      <c r="A41" s="40" t="s">
        <v>670</v>
      </c>
      <c r="B41" s="40" t="s">
        <v>671</v>
      </c>
      <c r="C41" s="40" t="s">
        <v>508</v>
      </c>
      <c r="D41" s="40" t="s">
        <v>672</v>
      </c>
      <c r="E41" s="40" t="s">
        <v>60</v>
      </c>
      <c r="F41" s="40" t="s">
        <v>673</v>
      </c>
    </row>
    <row r="42" customFormat="false" ht="23.85" hidden="false" customHeight="false" outlineLevel="0" collapsed="false">
      <c r="A42" s="40" t="s">
        <v>674</v>
      </c>
      <c r="B42" s="40" t="s">
        <v>675</v>
      </c>
      <c r="C42" s="40" t="s">
        <v>568</v>
      </c>
      <c r="D42" s="40" t="s">
        <v>676</v>
      </c>
      <c r="E42" s="40" t="s">
        <v>53</v>
      </c>
      <c r="F42" s="40" t="s">
        <v>677</v>
      </c>
    </row>
    <row r="43" customFormat="false" ht="15" hidden="false" customHeight="false" outlineLevel="0" collapsed="false">
      <c r="A43" s="40" t="s">
        <v>678</v>
      </c>
      <c r="B43" s="40" t="s">
        <v>679</v>
      </c>
      <c r="C43" s="40" t="s">
        <v>508</v>
      </c>
      <c r="D43" s="40" t="s">
        <v>680</v>
      </c>
      <c r="E43" s="40" t="s">
        <v>53</v>
      </c>
      <c r="F43" s="40" t="s">
        <v>681</v>
      </c>
    </row>
    <row r="44" customFormat="false" ht="15" hidden="false" customHeight="false" outlineLevel="0" collapsed="false">
      <c r="A44" s="40" t="s">
        <v>682</v>
      </c>
      <c r="B44" s="40" t="s">
        <v>683</v>
      </c>
      <c r="C44" s="40" t="s">
        <v>508</v>
      </c>
      <c r="D44" s="40" t="s">
        <v>684</v>
      </c>
      <c r="E44" s="40" t="s">
        <v>53</v>
      </c>
      <c r="F44" s="40" t="s">
        <v>685</v>
      </c>
    </row>
    <row r="45" customFormat="false" ht="23.85" hidden="false" customHeight="false" outlineLevel="0" collapsed="false">
      <c r="A45" s="40" t="s">
        <v>686</v>
      </c>
      <c r="B45" s="40" t="s">
        <v>687</v>
      </c>
      <c r="C45" s="40" t="s">
        <v>568</v>
      </c>
      <c r="D45" s="40" t="s">
        <v>688</v>
      </c>
      <c r="E45" s="40" t="s">
        <v>53</v>
      </c>
      <c r="F45" s="40" t="s">
        <v>689</v>
      </c>
    </row>
    <row r="46" customFormat="false" ht="23.85" hidden="false" customHeight="false" outlineLevel="0" collapsed="false">
      <c r="A46" s="40" t="s">
        <v>690</v>
      </c>
      <c r="B46" s="40" t="s">
        <v>691</v>
      </c>
      <c r="C46" s="40" t="s">
        <v>692</v>
      </c>
      <c r="D46" s="40" t="s">
        <v>693</v>
      </c>
      <c r="E46" s="40" t="s">
        <v>60</v>
      </c>
      <c r="F46" s="40" t="s">
        <v>694</v>
      </c>
    </row>
    <row r="47" customFormat="false" ht="15" hidden="false" customHeight="false" outlineLevel="0" collapsed="false">
      <c r="A47" s="40" t="s">
        <v>695</v>
      </c>
      <c r="B47" s="40" t="s">
        <v>696</v>
      </c>
      <c r="C47" s="40" t="s">
        <v>508</v>
      </c>
      <c r="D47" s="40" t="s">
        <v>697</v>
      </c>
      <c r="E47" s="40" t="s">
        <v>60</v>
      </c>
      <c r="F47" s="40" t="s">
        <v>698</v>
      </c>
    </row>
    <row r="48" customFormat="false" ht="23.85" hidden="false" customHeight="false" outlineLevel="0" collapsed="false">
      <c r="A48" s="40" t="s">
        <v>699</v>
      </c>
      <c r="B48" s="40" t="s">
        <v>700</v>
      </c>
      <c r="C48" s="40" t="s">
        <v>508</v>
      </c>
      <c r="D48" s="40" t="s">
        <v>701</v>
      </c>
      <c r="E48" s="40" t="s">
        <v>60</v>
      </c>
      <c r="F48" s="40" t="s">
        <v>702</v>
      </c>
    </row>
    <row r="49" customFormat="false" ht="23.85" hidden="false" customHeight="false" outlineLevel="0" collapsed="false">
      <c r="A49" s="40" t="s">
        <v>703</v>
      </c>
      <c r="B49" s="40" t="s">
        <v>704</v>
      </c>
      <c r="C49" s="40" t="s">
        <v>508</v>
      </c>
      <c r="D49" s="40" t="s">
        <v>705</v>
      </c>
      <c r="E49" s="40" t="s">
        <v>60</v>
      </c>
      <c r="F49" s="40" t="s">
        <v>706</v>
      </c>
    </row>
    <row r="50" customFormat="false" ht="23.85" hidden="false" customHeight="false" outlineLevel="0" collapsed="false">
      <c r="A50" s="40" t="s">
        <v>707</v>
      </c>
      <c r="B50" s="40" t="s">
        <v>708</v>
      </c>
      <c r="C50" s="40" t="s">
        <v>508</v>
      </c>
      <c r="D50" s="40" t="s">
        <v>709</v>
      </c>
      <c r="E50" s="40" t="s">
        <v>60</v>
      </c>
      <c r="F50" s="40" t="s">
        <v>710</v>
      </c>
    </row>
    <row r="51" customFormat="false" ht="23.85" hidden="false" customHeight="false" outlineLevel="0" collapsed="false">
      <c r="A51" s="40" t="s">
        <v>711</v>
      </c>
      <c r="B51" s="40" t="s">
        <v>712</v>
      </c>
      <c r="C51" s="40" t="s">
        <v>508</v>
      </c>
      <c r="D51" s="40" t="s">
        <v>713</v>
      </c>
      <c r="E51" s="40" t="s">
        <v>60</v>
      </c>
      <c r="F51" s="40" t="s">
        <v>714</v>
      </c>
    </row>
    <row r="52" customFormat="false" ht="23.85" hidden="false" customHeight="false" outlineLevel="0" collapsed="false">
      <c r="A52" s="40" t="s">
        <v>715</v>
      </c>
      <c r="B52" s="40" t="s">
        <v>716</v>
      </c>
      <c r="C52" s="40" t="s">
        <v>508</v>
      </c>
      <c r="D52" s="40" t="s">
        <v>717</v>
      </c>
      <c r="E52" s="40" t="s">
        <v>60</v>
      </c>
      <c r="F52" s="40" t="s">
        <v>718</v>
      </c>
    </row>
    <row r="53" customFormat="false" ht="23.85" hidden="false" customHeight="false" outlineLevel="0" collapsed="false">
      <c r="A53" s="40" t="s">
        <v>719</v>
      </c>
      <c r="B53" s="40" t="s">
        <v>720</v>
      </c>
      <c r="C53" s="40" t="s">
        <v>667</v>
      </c>
      <c r="D53" s="40" t="s">
        <v>721</v>
      </c>
      <c r="E53" s="40" t="s">
        <v>53</v>
      </c>
      <c r="F53" s="40" t="s">
        <v>722</v>
      </c>
    </row>
    <row r="54" customFormat="false" ht="23.85" hidden="false" customHeight="false" outlineLevel="0" collapsed="false">
      <c r="A54" s="40" t="s">
        <v>723</v>
      </c>
      <c r="B54" s="40" t="s">
        <v>724</v>
      </c>
      <c r="C54" s="40" t="s">
        <v>568</v>
      </c>
      <c r="D54" s="40" t="s">
        <v>725</v>
      </c>
      <c r="E54" s="40" t="s">
        <v>53</v>
      </c>
      <c r="F54" s="40" t="s">
        <v>726</v>
      </c>
    </row>
    <row r="55" customFormat="false" ht="15" hidden="false" customHeight="false" outlineLevel="0" collapsed="false">
      <c r="A55" s="40" t="s">
        <v>727</v>
      </c>
      <c r="B55" s="40" t="s">
        <v>728</v>
      </c>
      <c r="C55" s="40" t="s">
        <v>508</v>
      </c>
      <c r="D55" s="40" t="s">
        <v>729</v>
      </c>
      <c r="E55" s="40" t="s">
        <v>60</v>
      </c>
      <c r="F55" s="40" t="s">
        <v>730</v>
      </c>
    </row>
    <row r="56" customFormat="false" ht="23.85" hidden="false" customHeight="false" outlineLevel="0" collapsed="false">
      <c r="A56" s="40" t="s">
        <v>731</v>
      </c>
      <c r="B56" s="40" t="s">
        <v>732</v>
      </c>
      <c r="C56" s="40" t="s">
        <v>733</v>
      </c>
      <c r="D56" s="40" t="s">
        <v>734</v>
      </c>
      <c r="E56" s="40" t="s">
        <v>60</v>
      </c>
      <c r="F56" s="40" t="s">
        <v>735</v>
      </c>
    </row>
    <row r="57" customFormat="false" ht="23.85" hidden="false" customHeight="false" outlineLevel="0" collapsed="false">
      <c r="A57" s="40" t="s">
        <v>736</v>
      </c>
      <c r="B57" s="40" t="s">
        <v>737</v>
      </c>
      <c r="C57" s="40" t="s">
        <v>733</v>
      </c>
      <c r="D57" s="40" t="s">
        <v>738</v>
      </c>
      <c r="E57" s="40" t="s">
        <v>60</v>
      </c>
      <c r="F57" s="40" t="s">
        <v>739</v>
      </c>
    </row>
    <row r="58" customFormat="false" ht="35.05" hidden="false" customHeight="false" outlineLevel="0" collapsed="false">
      <c r="A58" s="40" t="s">
        <v>740</v>
      </c>
      <c r="B58" s="40" t="s">
        <v>741</v>
      </c>
      <c r="C58" s="40" t="s">
        <v>733</v>
      </c>
      <c r="D58" s="40" t="s">
        <v>742</v>
      </c>
      <c r="E58" s="40" t="s">
        <v>60</v>
      </c>
      <c r="F58" s="40" t="s">
        <v>743</v>
      </c>
    </row>
    <row r="59" customFormat="false" ht="23.85" hidden="false" customHeight="false" outlineLevel="0" collapsed="false">
      <c r="A59" s="40" t="s">
        <v>744</v>
      </c>
      <c r="B59" s="40" t="s">
        <v>745</v>
      </c>
      <c r="C59" s="40" t="s">
        <v>733</v>
      </c>
      <c r="D59" s="40" t="s">
        <v>746</v>
      </c>
      <c r="E59" s="40" t="s">
        <v>60</v>
      </c>
      <c r="F59" s="40" t="s">
        <v>747</v>
      </c>
    </row>
    <row r="60" customFormat="false" ht="15" hidden="false" customHeight="false" outlineLevel="0" collapsed="false">
      <c r="A60" s="40" t="s">
        <v>748</v>
      </c>
      <c r="B60" s="40" t="s">
        <v>749</v>
      </c>
      <c r="C60" s="40" t="s">
        <v>733</v>
      </c>
      <c r="D60" s="40" t="s">
        <v>750</v>
      </c>
      <c r="E60" s="40" t="s">
        <v>60</v>
      </c>
      <c r="F60" s="40" t="s">
        <v>751</v>
      </c>
    </row>
    <row r="61" customFormat="false" ht="23.85" hidden="false" customHeight="false" outlineLevel="0" collapsed="false">
      <c r="A61" s="40" t="s">
        <v>752</v>
      </c>
      <c r="B61" s="40" t="s">
        <v>753</v>
      </c>
      <c r="C61" s="40" t="s">
        <v>733</v>
      </c>
      <c r="D61" s="40" t="s">
        <v>754</v>
      </c>
      <c r="E61" s="40" t="s">
        <v>60</v>
      </c>
      <c r="F61" s="40" t="s">
        <v>755</v>
      </c>
    </row>
    <row r="62" customFormat="false" ht="15" hidden="false" customHeight="false" outlineLevel="0" collapsed="false">
      <c r="A62" s="40" t="s">
        <v>756</v>
      </c>
      <c r="B62" s="40" t="s">
        <v>757</v>
      </c>
      <c r="C62" s="40" t="s">
        <v>733</v>
      </c>
      <c r="D62" s="40" t="s">
        <v>758</v>
      </c>
      <c r="E62" s="40" t="s">
        <v>759</v>
      </c>
      <c r="F62" s="40" t="s">
        <v>760</v>
      </c>
    </row>
    <row r="64" customFormat="false" ht="15" hidden="false" customHeight="false" outlineLevel="0" collapsed="false">
      <c r="A64" s="23" t="s">
        <v>761</v>
      </c>
      <c r="B64" s="24"/>
      <c r="C64" s="24"/>
      <c r="D64" s="24"/>
      <c r="E64" s="24"/>
      <c r="F64" s="24"/>
    </row>
    <row r="65" customFormat="false" ht="15" hidden="false" customHeight="false" outlineLevel="0" collapsed="false">
      <c r="A65" s="3" t="s">
        <v>762</v>
      </c>
      <c r="B65" s="3"/>
      <c r="C65" s="3"/>
      <c r="D65" s="4" t="str">
        <f aca="false">IF(SUMPRODUCT(ABS(Engine!$C$84:$Y$84))&lt;0.5,"OK","ERROR")</f>
        <v>OK</v>
      </c>
    </row>
    <row r="66" customFormat="false" ht="15" hidden="false" customHeight="false" outlineLevel="0" collapsed="false">
      <c r="A66" s="3" t="s">
        <v>763</v>
      </c>
      <c r="B66" s="3"/>
      <c r="C66" s="3"/>
      <c r="D66" s="4" t="str">
        <f aca="false">IF(ABS('Import &amp; Taxes'!D29-1)&lt;0.0001,"OK","ERROR")</f>
        <v>OK</v>
      </c>
    </row>
    <row r="67" customFormat="false" ht="15" hidden="false" customHeight="false" outlineLevel="0" collapsed="false">
      <c r="A67" s="3" t="s">
        <v>764</v>
      </c>
      <c r="B67" s="3"/>
      <c r="C67" s="3"/>
      <c r="D67" s="4" t="str">
        <f aca="false">IF(SUMPRODUCT(ABS('Cash Flow'!B19:F19))&lt;0.5,"OK","ERROR")</f>
        <v>OK</v>
      </c>
    </row>
    <row r="68" customFormat="false" ht="15" hidden="false" customHeight="false" outlineLevel="0" collapsed="false">
      <c r="A68" s="3" t="s">
        <v>765</v>
      </c>
      <c r="B68" s="3"/>
      <c r="C68" s="3"/>
      <c r="D68" s="4" t="str">
        <f aca="false">IF(ABS('Sensitivity Analysis'!C13)&lt;1,"OK","ERROR")</f>
        <v>OK</v>
      </c>
    </row>
    <row r="69" customFormat="false" ht="15" hidden="false" customHeight="false" outlineLevel="0" collapsed="false">
      <c r="A69" s="3" t="s">
        <v>766</v>
      </c>
      <c r="B69" s="3"/>
      <c r="C69" s="3"/>
      <c r="D69" s="4" t="str">
        <f aca="false">IF(MIN(Engine!$C$16:$Y$16)&gt;=-0.01,"OK","ERROR")</f>
        <v>OK</v>
      </c>
    </row>
  </sheetData>
  <mergeCells count="5">
    <mergeCell ref="A65:C65"/>
    <mergeCell ref="A66:C66"/>
    <mergeCell ref="A67:C67"/>
    <mergeCell ref="A68:C68"/>
    <mergeCell ref="A69:C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"/>
    <col collapsed="false" customWidth="true" hidden="false" outlineLevel="0" max="7" min="3" style="0" width="12"/>
    <col collapsed="false" customWidth="true" hidden="false" outlineLevel="0" max="8" min="8" style="0" width="3"/>
    <col collapsed="false" customWidth="true" hidden="false" outlineLevel="0" max="13" min="9" style="0" width="12"/>
    <col collapsed="false" customWidth="true" hidden="false" outlineLevel="0" max="14" min="14" style="0" width="3"/>
    <col collapsed="false" customWidth="true" hidden="false" outlineLevel="0" max="19" min="15" style="0" width="12"/>
    <col collapsed="false" customWidth="true" hidden="false" outlineLevel="0" max="20" min="20" style="0" width="3"/>
    <col collapsed="false" customWidth="true" hidden="false" outlineLevel="0" max="25" min="21" style="0" width="12"/>
    <col collapsed="false" customWidth="true" hidden="false" outlineLevel="0" max="26" min="26" style="0" width="3"/>
  </cols>
  <sheetData>
    <row r="1" customFormat="false" ht="19.7" hidden="false" customHeight="false" outlineLevel="0" collapsed="false">
      <c r="A1" s="1" t="s">
        <v>767</v>
      </c>
    </row>
    <row r="2" customFormat="false" ht="15" hidden="false" customHeight="false" outlineLevel="0" collapsed="false">
      <c r="A2" s="2" t="s">
        <v>768</v>
      </c>
    </row>
    <row r="3" customFormat="false" ht="15" hidden="false" customHeight="true" outlineLevel="0" collapsed="false">
      <c r="C3" s="41" t="s">
        <v>24</v>
      </c>
      <c r="D3" s="41"/>
      <c r="E3" s="41"/>
      <c r="F3" s="41"/>
      <c r="G3" s="41"/>
      <c r="I3" s="41" t="s">
        <v>25</v>
      </c>
      <c r="J3" s="41"/>
      <c r="K3" s="41"/>
      <c r="L3" s="41"/>
      <c r="M3" s="41"/>
      <c r="O3" s="41" t="s">
        <v>26</v>
      </c>
      <c r="P3" s="41"/>
      <c r="Q3" s="41"/>
      <c r="R3" s="41"/>
      <c r="S3" s="41"/>
      <c r="U3" s="41" t="s">
        <v>27</v>
      </c>
      <c r="V3" s="41"/>
      <c r="W3" s="41"/>
      <c r="X3" s="41"/>
      <c r="Y3" s="41"/>
    </row>
    <row r="4" customFormat="false" ht="15" hidden="false" customHeight="false" outlineLevel="0" collapsed="false">
      <c r="A4" s="0" t="s">
        <v>232</v>
      </c>
      <c r="B4" s="0" t="s">
        <v>41</v>
      </c>
      <c r="C4" s="42" t="n">
        <v>2027</v>
      </c>
      <c r="D4" s="42" t="n">
        <v>2028</v>
      </c>
      <c r="E4" s="42" t="n">
        <v>2029</v>
      </c>
      <c r="F4" s="42" t="n">
        <v>2030</v>
      </c>
      <c r="G4" s="42" t="n">
        <v>2031</v>
      </c>
      <c r="I4" s="42" t="n">
        <v>2027</v>
      </c>
      <c r="J4" s="42" t="n">
        <v>2028</v>
      </c>
      <c r="K4" s="42" t="n">
        <v>2029</v>
      </c>
      <c r="L4" s="42" t="n">
        <v>2030</v>
      </c>
      <c r="M4" s="42" t="n">
        <v>2031</v>
      </c>
      <c r="O4" s="42" t="n">
        <v>2027</v>
      </c>
      <c r="P4" s="42" t="n">
        <v>2028</v>
      </c>
      <c r="Q4" s="42" t="n">
        <v>2029</v>
      </c>
      <c r="R4" s="42" t="n">
        <v>2030</v>
      </c>
      <c r="S4" s="42" t="n">
        <v>2031</v>
      </c>
      <c r="U4" s="42" t="n">
        <v>2027</v>
      </c>
      <c r="V4" s="42" t="n">
        <v>2028</v>
      </c>
      <c r="W4" s="42" t="n">
        <v>2029</v>
      </c>
      <c r="X4" s="42" t="n">
        <v>2030</v>
      </c>
      <c r="Y4" s="42" t="n">
        <v>2031</v>
      </c>
    </row>
    <row r="6" customFormat="false" ht="15" hidden="false" customHeight="false" outlineLevel="0" collapsed="false">
      <c r="A6" s="23" t="s">
        <v>769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customFormat="false" ht="15" hidden="false" customHeight="false" outlineLevel="0" collapsed="false">
      <c r="A7" s="33" t="s">
        <v>770</v>
      </c>
      <c r="C7" s="43" t="n">
        <f aca="false">Assumptions!$C$8+0</f>
        <v>2027</v>
      </c>
      <c r="D7" s="43" t="n">
        <f aca="false">Assumptions!$C$8+1</f>
        <v>2028</v>
      </c>
      <c r="E7" s="43" t="n">
        <f aca="false">Assumptions!$C$8+2</f>
        <v>2029</v>
      </c>
      <c r="F7" s="43" t="n">
        <f aca="false">Assumptions!$C$8+3</f>
        <v>2030</v>
      </c>
      <c r="G7" s="43" t="n">
        <f aca="false">Assumptions!$C$8+4</f>
        <v>2031</v>
      </c>
      <c r="I7" s="43" t="n">
        <f aca="false">Assumptions!$C$8+0</f>
        <v>2027</v>
      </c>
      <c r="J7" s="43" t="n">
        <f aca="false">Assumptions!$C$8+1</f>
        <v>2028</v>
      </c>
      <c r="K7" s="43" t="n">
        <f aca="false">Assumptions!$C$8+2</f>
        <v>2029</v>
      </c>
      <c r="L7" s="43" t="n">
        <f aca="false">Assumptions!$C$8+3</f>
        <v>2030</v>
      </c>
      <c r="M7" s="43" t="n">
        <f aca="false">Assumptions!$C$8+4</f>
        <v>2031</v>
      </c>
      <c r="O7" s="43" t="n">
        <f aca="false">Assumptions!$C$8+0</f>
        <v>2027</v>
      </c>
      <c r="P7" s="43" t="n">
        <f aca="false">Assumptions!$C$8+1</f>
        <v>2028</v>
      </c>
      <c r="Q7" s="43" t="n">
        <f aca="false">Assumptions!$C$8+2</f>
        <v>2029</v>
      </c>
      <c r="R7" s="43" t="n">
        <f aca="false">Assumptions!$C$8+3</f>
        <v>2030</v>
      </c>
      <c r="S7" s="43" t="n">
        <f aca="false">Assumptions!$C$8+4</f>
        <v>2031</v>
      </c>
      <c r="U7" s="43" t="n">
        <f aca="false">Assumptions!$C$8+0</f>
        <v>2027</v>
      </c>
      <c r="V7" s="43" t="n">
        <f aca="false">Assumptions!$C$8+1</f>
        <v>2028</v>
      </c>
      <c r="W7" s="43" t="n">
        <f aca="false">Assumptions!$C$8+2</f>
        <v>2029</v>
      </c>
      <c r="X7" s="43" t="n">
        <f aca="false">Assumptions!$C$8+3</f>
        <v>2030</v>
      </c>
      <c r="Y7" s="43" t="n">
        <f aca="false">Assumptions!$C$8+4</f>
        <v>2031</v>
      </c>
    </row>
    <row r="8" customFormat="false" ht="15" hidden="false" customHeight="false" outlineLevel="0" collapsed="false">
      <c r="A8" s="33" t="s">
        <v>771</v>
      </c>
      <c r="C8" s="44" t="n">
        <f aca="false">'Sales Forecast'!$B$5</f>
        <v>0</v>
      </c>
      <c r="D8" s="44" t="n">
        <f aca="false">'Sales Forecast'!$C$5</f>
        <v>1000</v>
      </c>
      <c r="E8" s="44" t="n">
        <f aca="false">'Sales Forecast'!$D$5</f>
        <v>1500</v>
      </c>
      <c r="F8" s="44" t="n">
        <f aca="false">'Sales Forecast'!$E$5</f>
        <v>2000</v>
      </c>
      <c r="G8" s="44" t="n">
        <f aca="false">'Sales Forecast'!$F$5</f>
        <v>2500</v>
      </c>
      <c r="I8" s="44" t="n">
        <f aca="false">'Sales Forecast'!$B$6</f>
        <v>0</v>
      </c>
      <c r="J8" s="44" t="n">
        <f aca="false">'Sales Forecast'!$C$6</f>
        <v>2000</v>
      </c>
      <c r="K8" s="44" t="n">
        <f aca="false">'Sales Forecast'!$D$6</f>
        <v>3500</v>
      </c>
      <c r="L8" s="44" t="n">
        <f aca="false">'Sales Forecast'!$E$6</f>
        <v>5000</v>
      </c>
      <c r="M8" s="44" t="n">
        <f aca="false">'Sales Forecast'!$F$6</f>
        <v>6500</v>
      </c>
      <c r="O8" s="44" t="n">
        <f aca="false">'Sales Forecast'!$B$7</f>
        <v>0</v>
      </c>
      <c r="P8" s="44" t="n">
        <f aca="false">'Sales Forecast'!$C$7</f>
        <v>3500</v>
      </c>
      <c r="Q8" s="44" t="n">
        <f aca="false">'Sales Forecast'!$D$7</f>
        <v>6000</v>
      </c>
      <c r="R8" s="44" t="n">
        <f aca="false">'Sales Forecast'!$E$7</f>
        <v>9000</v>
      </c>
      <c r="S8" s="44" t="n">
        <f aca="false">'Sales Forecast'!$F$7</f>
        <v>12000</v>
      </c>
      <c r="U8" s="44" t="n">
        <f aca="false">'Sales Forecast'!$B$8</f>
        <v>0</v>
      </c>
      <c r="V8" s="44" t="n">
        <f aca="false">'Sales Forecast'!$C$8</f>
        <v>2000</v>
      </c>
      <c r="W8" s="44" t="n">
        <f aca="false">'Sales Forecast'!$D$8</f>
        <v>3500</v>
      </c>
      <c r="X8" s="44" t="n">
        <f aca="false">'Sales Forecast'!$E$8</f>
        <v>5000</v>
      </c>
      <c r="Y8" s="44" t="n">
        <f aca="false">'Sales Forecast'!$F$8</f>
        <v>6500</v>
      </c>
    </row>
    <row r="9" customFormat="false" ht="15" hidden="false" customHeight="false" outlineLevel="0" collapsed="false">
      <c r="A9" s="33" t="s">
        <v>772</v>
      </c>
      <c r="C9" s="43" t="n">
        <f aca="false">IF(C7&lt;Assumptions!$C$49,1,0)</f>
        <v>1</v>
      </c>
      <c r="D9" s="43" t="n">
        <f aca="false">IF(D7&lt;Assumptions!$C$49,1,0)</f>
        <v>1</v>
      </c>
      <c r="E9" s="43" t="n">
        <f aca="false">IF(E7&lt;Assumptions!$C$49,1,0)</f>
        <v>1</v>
      </c>
      <c r="F9" s="43" t="n">
        <f aca="false">IF(F7&lt;Assumptions!$C$49,1,0)</f>
        <v>1</v>
      </c>
      <c r="G9" s="43" t="n">
        <f aca="false">IF(G7&lt;Assumptions!$C$49,1,0)</f>
        <v>1</v>
      </c>
      <c r="I9" s="43" t="n">
        <f aca="false">IF(I7&lt;Assumptions!$D$49,1,0)</f>
        <v>1</v>
      </c>
      <c r="J9" s="43" t="n">
        <f aca="false">IF(J7&lt;Assumptions!$D$49,1,0)</f>
        <v>1</v>
      </c>
      <c r="K9" s="43" t="n">
        <f aca="false">IF(K7&lt;Assumptions!$D$49,1,0)</f>
        <v>1</v>
      </c>
      <c r="L9" s="43" t="n">
        <f aca="false">IF(L7&lt;Assumptions!$D$49,1,0)</f>
        <v>1</v>
      </c>
      <c r="M9" s="43" t="n">
        <f aca="false">IF(M7&lt;Assumptions!$D$49,1,0)</f>
        <v>1</v>
      </c>
      <c r="O9" s="43" t="n">
        <f aca="false">IF(O7&lt;Assumptions!$E$49,1,0)</f>
        <v>1</v>
      </c>
      <c r="P9" s="43" t="n">
        <f aca="false">IF(P7&lt;Assumptions!$E$49,1,0)</f>
        <v>1</v>
      </c>
      <c r="Q9" s="43" t="n">
        <f aca="false">IF(Q7&lt;Assumptions!$E$49,1,0)</f>
        <v>1</v>
      </c>
      <c r="R9" s="43" t="n">
        <f aca="false">IF(R7&lt;Assumptions!$E$49,1,0)</f>
        <v>1</v>
      </c>
      <c r="S9" s="43" t="n">
        <f aca="false">IF(S7&lt;Assumptions!$E$49,1,0)</f>
        <v>1</v>
      </c>
      <c r="U9" s="43" t="n">
        <f aca="false">IF(U7&lt;Assumptions!$F$49,1,0)</f>
        <v>1</v>
      </c>
      <c r="V9" s="43" t="n">
        <f aca="false">IF(V7&lt;Assumptions!$F$49,1,0)</f>
        <v>1</v>
      </c>
      <c r="W9" s="43" t="n">
        <f aca="false">IF(W7&lt;Assumptions!$F$49,1,0)</f>
        <v>0</v>
      </c>
      <c r="X9" s="43" t="n">
        <f aca="false">IF(X7&lt;Assumptions!$F$49,1,0)</f>
        <v>0</v>
      </c>
      <c r="Y9" s="43" t="n">
        <f aca="false">IF(Y7&lt;Assumptions!$F$49,1,0)</f>
        <v>0</v>
      </c>
    </row>
    <row r="10" customFormat="false" ht="15" hidden="false" customHeight="false" outlineLevel="0" collapsed="false">
      <c r="A10" s="33" t="s">
        <v>773</v>
      </c>
      <c r="C10" s="45" t="n">
        <f aca="false">1/(1-Assumptions!$C$46)+Assumptions!$C$47</f>
        <v>1.09263157894737</v>
      </c>
      <c r="D10" s="45" t="n">
        <f aca="false">1/(1-Assumptions!$C$46)+Assumptions!$C$47</f>
        <v>1.09263157894737</v>
      </c>
      <c r="E10" s="45" t="n">
        <f aca="false">1/(1-Assumptions!$C$46)+Assumptions!$C$47</f>
        <v>1.09263157894737</v>
      </c>
      <c r="F10" s="45" t="n">
        <f aca="false">1/(1-Assumptions!$C$46)+Assumptions!$C$47</f>
        <v>1.09263157894737</v>
      </c>
      <c r="G10" s="45" t="n">
        <f aca="false">1/(1-Assumptions!$C$46)+Assumptions!$C$47</f>
        <v>1.09263157894737</v>
      </c>
      <c r="I10" s="45" t="n">
        <f aca="false">1/(1-Assumptions!$D$46)+Assumptions!$D$47</f>
        <v>1.06092783505155</v>
      </c>
      <c r="J10" s="45" t="n">
        <f aca="false">1/(1-Assumptions!$D$46)+Assumptions!$D$47</f>
        <v>1.06092783505155</v>
      </c>
      <c r="K10" s="45" t="n">
        <f aca="false">1/(1-Assumptions!$D$46)+Assumptions!$D$47</f>
        <v>1.06092783505155</v>
      </c>
      <c r="L10" s="45" t="n">
        <f aca="false">1/(1-Assumptions!$D$46)+Assumptions!$D$47</f>
        <v>1.06092783505155</v>
      </c>
      <c r="M10" s="45" t="n">
        <f aca="false">1/(1-Assumptions!$D$46)+Assumptions!$D$47</f>
        <v>1.06092783505155</v>
      </c>
      <c r="O10" s="45" t="n">
        <f aca="false">1/(1-Assumptions!$E$46)+Assumptions!$E$47</f>
        <v>1.04540816326531</v>
      </c>
      <c r="P10" s="45" t="n">
        <f aca="false">1/(1-Assumptions!$E$46)+Assumptions!$E$47</f>
        <v>1.04540816326531</v>
      </c>
      <c r="Q10" s="45" t="n">
        <f aca="false">1/(1-Assumptions!$E$46)+Assumptions!$E$47</f>
        <v>1.04540816326531</v>
      </c>
      <c r="R10" s="45" t="n">
        <f aca="false">1/(1-Assumptions!$E$46)+Assumptions!$E$47</f>
        <v>1.04540816326531</v>
      </c>
      <c r="S10" s="45" t="n">
        <f aca="false">1/(1-Assumptions!$E$46)+Assumptions!$E$47</f>
        <v>1.04540816326531</v>
      </c>
      <c r="U10" s="45" t="n">
        <f aca="false">1/(1-Assumptions!$F$46)+Assumptions!$F$47</f>
        <v>1.12695652173913</v>
      </c>
      <c r="V10" s="45" t="n">
        <f aca="false">1/(1-Assumptions!$F$46)+Assumptions!$F$47</f>
        <v>1.12695652173913</v>
      </c>
      <c r="W10" s="45" t="n">
        <f aca="false">1/(1-Assumptions!$F$46)+Assumptions!$F$47</f>
        <v>1.12695652173913</v>
      </c>
      <c r="X10" s="45" t="n">
        <f aca="false">1/(1-Assumptions!$F$46)+Assumptions!$F$47</f>
        <v>1.12695652173913</v>
      </c>
      <c r="Y10" s="45" t="n">
        <f aca="false">1/(1-Assumptions!$F$46)+Assumptions!$F$47</f>
        <v>1.12695652173913</v>
      </c>
    </row>
    <row r="11" customFormat="false" ht="15" hidden="false" customHeight="false" outlineLevel="0" collapsed="false">
      <c r="A11" s="33" t="s">
        <v>774</v>
      </c>
      <c r="C11" s="44" t="n">
        <f aca="false">0</f>
        <v>0</v>
      </c>
      <c r="D11" s="44" t="n">
        <f aca="false">C16</f>
        <v>500</v>
      </c>
      <c r="E11" s="44" t="n">
        <f aca="false">D16</f>
        <v>750</v>
      </c>
      <c r="F11" s="44" t="n">
        <f aca="false">E16</f>
        <v>1000</v>
      </c>
      <c r="G11" s="44" t="n">
        <f aca="false">F16</f>
        <v>1250</v>
      </c>
      <c r="I11" s="44" t="n">
        <f aca="false">0</f>
        <v>0</v>
      </c>
      <c r="J11" s="44" t="n">
        <f aca="false">I16</f>
        <v>1000</v>
      </c>
      <c r="K11" s="44" t="n">
        <f aca="false">J16</f>
        <v>1750</v>
      </c>
      <c r="L11" s="44" t="n">
        <f aca="false">K16</f>
        <v>2500</v>
      </c>
      <c r="M11" s="44" t="n">
        <f aca="false">L16</f>
        <v>3250</v>
      </c>
      <c r="O11" s="44" t="n">
        <f aca="false">0</f>
        <v>0</v>
      </c>
      <c r="P11" s="44" t="n">
        <f aca="false">O16</f>
        <v>1750</v>
      </c>
      <c r="Q11" s="44" t="n">
        <f aca="false">P16</f>
        <v>3000</v>
      </c>
      <c r="R11" s="44" t="n">
        <f aca="false">Q16</f>
        <v>4500</v>
      </c>
      <c r="S11" s="44" t="n">
        <f aca="false">R16</f>
        <v>6000</v>
      </c>
      <c r="U11" s="44" t="n">
        <f aca="false">0</f>
        <v>0</v>
      </c>
      <c r="V11" s="44" t="n">
        <f aca="false">U16</f>
        <v>1000</v>
      </c>
      <c r="W11" s="44" t="n">
        <f aca="false">V16</f>
        <v>1750</v>
      </c>
      <c r="X11" s="44" t="n">
        <f aca="false">W16</f>
        <v>0</v>
      </c>
      <c r="Y11" s="44" t="n">
        <f aca="false">X16</f>
        <v>0</v>
      </c>
    </row>
    <row r="12" customFormat="false" ht="15" hidden="false" customHeight="false" outlineLevel="0" collapsed="false">
      <c r="A12" s="33" t="s">
        <v>775</v>
      </c>
      <c r="C12" s="44" t="n">
        <f aca="false">Assumptions!$C$22/12*'Sales Forecast'!$C$5*C9</f>
        <v>500</v>
      </c>
      <c r="D12" s="44" t="n">
        <f aca="false">Assumptions!$C$22/12*'Sales Forecast'!$D$5*D9</f>
        <v>750</v>
      </c>
      <c r="E12" s="44" t="n">
        <f aca="false">Assumptions!$C$22/12*'Sales Forecast'!$E$5*E9</f>
        <v>1000</v>
      </c>
      <c r="F12" s="44" t="n">
        <f aca="false">Assumptions!$C$22/12*'Sales Forecast'!$F$5*F9</f>
        <v>1250</v>
      </c>
      <c r="G12" s="44" t="n">
        <f aca="false">Assumptions!$C$22/12*'Sales Forecast'!$F$5*G9</f>
        <v>1250</v>
      </c>
      <c r="I12" s="44" t="n">
        <f aca="false">Assumptions!$C$22/12*'Sales Forecast'!$C$6*I9</f>
        <v>1000</v>
      </c>
      <c r="J12" s="44" t="n">
        <f aca="false">Assumptions!$C$22/12*'Sales Forecast'!$D$6*J9</f>
        <v>1750</v>
      </c>
      <c r="K12" s="44" t="n">
        <f aca="false">Assumptions!$C$22/12*'Sales Forecast'!$E$6*K9</f>
        <v>2500</v>
      </c>
      <c r="L12" s="44" t="n">
        <f aca="false">Assumptions!$C$22/12*'Sales Forecast'!$F$6*L9</f>
        <v>3250</v>
      </c>
      <c r="M12" s="44" t="n">
        <f aca="false">Assumptions!$C$22/12*'Sales Forecast'!$F$6*M9</f>
        <v>3250</v>
      </c>
      <c r="O12" s="44" t="n">
        <f aca="false">Assumptions!$C$22/12*'Sales Forecast'!$C$7*O9</f>
        <v>1750</v>
      </c>
      <c r="P12" s="44" t="n">
        <f aca="false">Assumptions!$C$22/12*'Sales Forecast'!$D$7*P9</f>
        <v>3000</v>
      </c>
      <c r="Q12" s="44" t="n">
        <f aca="false">Assumptions!$C$22/12*'Sales Forecast'!$E$7*Q9</f>
        <v>4500</v>
      </c>
      <c r="R12" s="44" t="n">
        <f aca="false">Assumptions!$C$22/12*'Sales Forecast'!$F$7*R9</f>
        <v>6000</v>
      </c>
      <c r="S12" s="44" t="n">
        <f aca="false">Assumptions!$C$22/12*'Sales Forecast'!$F$7*S9</f>
        <v>6000</v>
      </c>
      <c r="U12" s="44" t="n">
        <f aca="false">Assumptions!$C$22/12*'Sales Forecast'!$C$8*U9</f>
        <v>1000</v>
      </c>
      <c r="V12" s="44" t="n">
        <f aca="false">Assumptions!$C$22/12*'Sales Forecast'!$D$8*V9</f>
        <v>1750</v>
      </c>
      <c r="W12" s="44" t="n">
        <f aca="false">Assumptions!$C$22/12*'Sales Forecast'!$E$8*W9</f>
        <v>0</v>
      </c>
      <c r="X12" s="44" t="n">
        <f aca="false">Assumptions!$C$22/12*'Sales Forecast'!$F$8*X9</f>
        <v>0</v>
      </c>
      <c r="Y12" s="44" t="n">
        <f aca="false">Assumptions!$C$22/12*'Sales Forecast'!$F$8*Y9</f>
        <v>0</v>
      </c>
    </row>
    <row r="13" customFormat="false" ht="15" hidden="false" customHeight="false" outlineLevel="0" collapsed="false">
      <c r="A13" s="33" t="s">
        <v>776</v>
      </c>
      <c r="C13" s="44" t="n">
        <f aca="false">IF(C9=1,MAX(0,C8*C10+C12-C11),0)</f>
        <v>500</v>
      </c>
      <c r="D13" s="44" t="n">
        <f aca="false">IF(D9=1,MAX(0,D8*D10+D12-D11),0)</f>
        <v>1342.63157894737</v>
      </c>
      <c r="E13" s="44" t="n">
        <f aca="false">IF(E9=1,MAX(0,E8*E10+E12-E11),0)</f>
        <v>1888.94736842105</v>
      </c>
      <c r="F13" s="44" t="n">
        <f aca="false">IF(F9=1,MAX(0,F8*F10+F12-F11),0)</f>
        <v>2435.26315789474</v>
      </c>
      <c r="G13" s="44" t="n">
        <f aca="false">IF(G9=1,MAX(0,G8*G10+G12-G11),0)</f>
        <v>2731.57894736842</v>
      </c>
      <c r="I13" s="44" t="n">
        <f aca="false">IF(I9=1,MAX(0,I8*I10+I12-I11),0)</f>
        <v>1000</v>
      </c>
      <c r="J13" s="44" t="n">
        <f aca="false">IF(J9=1,MAX(0,J8*J10+J12-J11),0)</f>
        <v>2871.85567010309</v>
      </c>
      <c r="K13" s="44" t="n">
        <f aca="false">IF(K9=1,MAX(0,K8*K10+K12-K11),0)</f>
        <v>4463.24742268041</v>
      </c>
      <c r="L13" s="44" t="n">
        <f aca="false">IF(L9=1,MAX(0,L8*L10+L12-L11),0)</f>
        <v>6054.63917525773</v>
      </c>
      <c r="M13" s="44" t="n">
        <f aca="false">IF(M9=1,MAX(0,M8*M10+M12-M11),0)</f>
        <v>6896.03092783505</v>
      </c>
      <c r="O13" s="44" t="n">
        <f aca="false">IF(O9=1,MAX(0,O8*O10+O12-O11),0)</f>
        <v>1750</v>
      </c>
      <c r="P13" s="44" t="n">
        <f aca="false">IF(P9=1,MAX(0,P8*P10+P12-P11),0)</f>
        <v>4908.92857142857</v>
      </c>
      <c r="Q13" s="44" t="n">
        <f aca="false">IF(Q9=1,MAX(0,Q8*Q10+Q12-Q11),0)</f>
        <v>7772.44897959184</v>
      </c>
      <c r="R13" s="44" t="n">
        <f aca="false">IF(R9=1,MAX(0,R8*R10+R12-R11),0)</f>
        <v>10908.6734693878</v>
      </c>
      <c r="S13" s="44" t="n">
        <f aca="false">IF(S9=1,MAX(0,S8*S10+S12-S11),0)</f>
        <v>12544.8979591837</v>
      </c>
      <c r="U13" s="44" t="n">
        <f aca="false">IF(U9=1,MAX(0,U8*U10+U12-U11),0)</f>
        <v>1000</v>
      </c>
      <c r="V13" s="44" t="n">
        <f aca="false">IF(V9=1,MAX(0,V8*V10+V12-V11),0)</f>
        <v>3003.91304347826</v>
      </c>
      <c r="W13" s="44" t="n">
        <f aca="false">IF(W9=1,MAX(0,W8*W10+W12-W11),0)</f>
        <v>0</v>
      </c>
      <c r="X13" s="44" t="n">
        <f aca="false">IF(X9=1,MAX(0,X8*X10+X12-X11),0)</f>
        <v>0</v>
      </c>
      <c r="Y13" s="44" t="n">
        <f aca="false">IF(Y9=1,MAX(0,Y8*Y10+Y12-Y11),0)</f>
        <v>0</v>
      </c>
    </row>
    <row r="14" customFormat="false" ht="15" hidden="false" customHeight="false" outlineLevel="0" collapsed="false">
      <c r="A14" s="33" t="s">
        <v>233</v>
      </c>
      <c r="C14" s="44" t="n">
        <f aca="false">IF(C9=1,C8,MIN(C8,C11/C10))</f>
        <v>0</v>
      </c>
      <c r="D14" s="44" t="n">
        <f aca="false">IF(D9=1,D8,MIN(D8,D11/D10))</f>
        <v>1000</v>
      </c>
      <c r="E14" s="44" t="n">
        <f aca="false">IF(E9=1,E8,MIN(E8,E11/E10))</f>
        <v>1500</v>
      </c>
      <c r="F14" s="44" t="n">
        <f aca="false">IF(F9=1,F8,MIN(F8,F11/F10))</f>
        <v>2000</v>
      </c>
      <c r="G14" s="44" t="n">
        <f aca="false">IF(G9=1,G8,MIN(G8,G11/G10))</f>
        <v>2500</v>
      </c>
      <c r="I14" s="44" t="n">
        <f aca="false">IF(I9=1,I8,MIN(I8,I11/I10))</f>
        <v>0</v>
      </c>
      <c r="J14" s="44" t="n">
        <f aca="false">IF(J9=1,J8,MIN(J8,J11/J10))</f>
        <v>2000</v>
      </c>
      <c r="K14" s="44" t="n">
        <f aca="false">IF(K9=1,K8,MIN(K8,K11/K10))</f>
        <v>3500</v>
      </c>
      <c r="L14" s="44" t="n">
        <f aca="false">IF(L9=1,L8,MIN(L8,L11/L10))</f>
        <v>5000</v>
      </c>
      <c r="M14" s="44" t="n">
        <f aca="false">IF(M9=1,M8,MIN(M8,M11/M10))</f>
        <v>6500</v>
      </c>
      <c r="O14" s="44" t="n">
        <f aca="false">IF(O9=1,O8,MIN(O8,O11/O10))</f>
        <v>0</v>
      </c>
      <c r="P14" s="44" t="n">
        <f aca="false">IF(P9=1,P8,MIN(P8,P11/P10))</f>
        <v>3500</v>
      </c>
      <c r="Q14" s="44" t="n">
        <f aca="false">IF(Q9=1,Q8,MIN(Q8,Q11/Q10))</f>
        <v>6000</v>
      </c>
      <c r="R14" s="44" t="n">
        <f aca="false">IF(R9=1,R8,MIN(R8,R11/R10))</f>
        <v>9000</v>
      </c>
      <c r="S14" s="44" t="n">
        <f aca="false">IF(S9=1,S8,MIN(S8,S11/S10))</f>
        <v>12000</v>
      </c>
      <c r="U14" s="44" t="n">
        <f aca="false">IF(U9=1,U8,MIN(U8,U11/U10))</f>
        <v>0</v>
      </c>
      <c r="V14" s="44" t="n">
        <f aca="false">IF(V9=1,V8,MIN(V8,V11/V10))</f>
        <v>2000</v>
      </c>
      <c r="W14" s="44" t="n">
        <f aca="false">IF(W9=1,W8,MIN(W8,W11/W10))</f>
        <v>1552.85493827161</v>
      </c>
      <c r="X14" s="44" t="n">
        <f aca="false">IF(X9=1,X8,MIN(X8,X11/X10))</f>
        <v>0</v>
      </c>
      <c r="Y14" s="44" t="n">
        <f aca="false">IF(Y9=1,Y8,MIN(Y8,Y11/Y10))</f>
        <v>0</v>
      </c>
    </row>
    <row r="15" customFormat="false" ht="15" hidden="false" customHeight="false" outlineLevel="0" collapsed="false">
      <c r="A15" s="33" t="s">
        <v>777</v>
      </c>
      <c r="C15" s="44" t="n">
        <f aca="false">C14*C10</f>
        <v>0</v>
      </c>
      <c r="D15" s="44" t="n">
        <f aca="false">D14*D10</f>
        <v>1092.63157894737</v>
      </c>
      <c r="E15" s="44" t="n">
        <f aca="false">E14*E10</f>
        <v>1638.94736842105</v>
      </c>
      <c r="F15" s="44" t="n">
        <f aca="false">F14*F10</f>
        <v>2185.26315789474</v>
      </c>
      <c r="G15" s="44" t="n">
        <f aca="false">G14*G10</f>
        <v>2731.57894736842</v>
      </c>
      <c r="I15" s="44" t="n">
        <f aca="false">I14*I10</f>
        <v>0</v>
      </c>
      <c r="J15" s="44" t="n">
        <f aca="false">J14*J10</f>
        <v>2121.85567010309</v>
      </c>
      <c r="K15" s="44" t="n">
        <f aca="false">K14*K10</f>
        <v>3713.24742268041</v>
      </c>
      <c r="L15" s="44" t="n">
        <f aca="false">L14*L10</f>
        <v>5304.63917525773</v>
      </c>
      <c r="M15" s="44" t="n">
        <f aca="false">M14*M10</f>
        <v>6896.03092783505</v>
      </c>
      <c r="O15" s="44" t="n">
        <f aca="false">O14*O10</f>
        <v>0</v>
      </c>
      <c r="P15" s="44" t="n">
        <f aca="false">P14*P10</f>
        <v>3658.92857142857</v>
      </c>
      <c r="Q15" s="44" t="n">
        <f aca="false">Q14*Q10</f>
        <v>6272.44897959184</v>
      </c>
      <c r="R15" s="44" t="n">
        <f aca="false">R14*R10</f>
        <v>9408.67346938776</v>
      </c>
      <c r="S15" s="44" t="n">
        <f aca="false">S14*S10</f>
        <v>12544.8979591837</v>
      </c>
      <c r="U15" s="44" t="n">
        <f aca="false">U14*U10</f>
        <v>0</v>
      </c>
      <c r="V15" s="44" t="n">
        <f aca="false">V14*V10</f>
        <v>2253.91304347826</v>
      </c>
      <c r="W15" s="44" t="n">
        <f aca="false">W14*W10</f>
        <v>1750</v>
      </c>
      <c r="X15" s="44" t="n">
        <f aca="false">X14*X10</f>
        <v>0</v>
      </c>
      <c r="Y15" s="44" t="n">
        <f aca="false">Y14*Y10</f>
        <v>0</v>
      </c>
    </row>
    <row r="16" customFormat="false" ht="15" hidden="false" customHeight="false" outlineLevel="0" collapsed="false">
      <c r="A16" s="33" t="s">
        <v>778</v>
      </c>
      <c r="C16" s="44" t="n">
        <f aca="false">C11+C13-C15</f>
        <v>500</v>
      </c>
      <c r="D16" s="44" t="n">
        <f aca="false">D11+D13-D15</f>
        <v>750</v>
      </c>
      <c r="E16" s="44" t="n">
        <f aca="false">E11+E13-E15</f>
        <v>1000</v>
      </c>
      <c r="F16" s="44" t="n">
        <f aca="false">F11+F13-F15</f>
        <v>1250</v>
      </c>
      <c r="G16" s="44" t="n">
        <f aca="false">G11+G13-G15</f>
        <v>1250</v>
      </c>
      <c r="I16" s="44" t="n">
        <f aca="false">I11+I13-I15</f>
        <v>1000</v>
      </c>
      <c r="J16" s="44" t="n">
        <f aca="false">J11+J13-J15</f>
        <v>1750</v>
      </c>
      <c r="K16" s="44" t="n">
        <f aca="false">K11+K13-K15</f>
        <v>2500</v>
      </c>
      <c r="L16" s="44" t="n">
        <f aca="false">L11+L13-L15</f>
        <v>3250</v>
      </c>
      <c r="M16" s="44" t="n">
        <f aca="false">M11+M13-M15</f>
        <v>3250</v>
      </c>
      <c r="O16" s="44" t="n">
        <f aca="false">O11+O13-O15</f>
        <v>1750</v>
      </c>
      <c r="P16" s="44" t="n">
        <f aca="false">P11+P13-P15</f>
        <v>3000</v>
      </c>
      <c r="Q16" s="44" t="n">
        <f aca="false">Q11+Q13-Q15</f>
        <v>4500</v>
      </c>
      <c r="R16" s="44" t="n">
        <f aca="false">R11+R13-R15</f>
        <v>6000</v>
      </c>
      <c r="S16" s="44" t="n">
        <f aca="false">S11+S13-S15</f>
        <v>6000</v>
      </c>
      <c r="U16" s="44" t="n">
        <f aca="false">U11+U13-U15</f>
        <v>1000</v>
      </c>
      <c r="V16" s="44" t="n">
        <f aca="false">V11+V13-V15</f>
        <v>1750</v>
      </c>
      <c r="W16" s="44" t="n">
        <f aca="false">W11+W13-W15</f>
        <v>0</v>
      </c>
      <c r="X16" s="44" t="n">
        <f aca="false">X11+X13-X15</f>
        <v>0</v>
      </c>
      <c r="Y16" s="44" t="n">
        <f aca="false">Y11+Y13-Y15</f>
        <v>0</v>
      </c>
    </row>
    <row r="18" customFormat="false" ht="15" hidden="false" customHeight="false" outlineLevel="0" collapsed="false">
      <c r="A18" s="23" t="s">
        <v>779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customFormat="false" ht="15" hidden="false" customHeight="false" outlineLevel="0" collapsed="false">
      <c r="A19" s="33" t="s">
        <v>398</v>
      </c>
      <c r="C19" s="46" t="n">
        <f aca="false">Assumptions!$C$39</f>
        <v>20</v>
      </c>
      <c r="D19" s="46" t="n">
        <f aca="false">Assumptions!$C$39</f>
        <v>20</v>
      </c>
      <c r="E19" s="46" t="n">
        <f aca="false">Assumptions!$C$39</f>
        <v>20</v>
      </c>
      <c r="F19" s="46" t="n">
        <f aca="false">Assumptions!$C$39</f>
        <v>20</v>
      </c>
      <c r="G19" s="46" t="n">
        <f aca="false">Assumptions!$C$39</f>
        <v>20</v>
      </c>
      <c r="I19" s="46" t="n">
        <f aca="false">Assumptions!$D$39</f>
        <v>24</v>
      </c>
      <c r="J19" s="46" t="n">
        <f aca="false">Assumptions!$D$39</f>
        <v>24</v>
      </c>
      <c r="K19" s="46" t="n">
        <f aca="false">Assumptions!$D$39</f>
        <v>24</v>
      </c>
      <c r="L19" s="46" t="n">
        <f aca="false">Assumptions!$D$39</f>
        <v>24</v>
      </c>
      <c r="M19" s="46" t="n">
        <f aca="false">Assumptions!$D$39</f>
        <v>24</v>
      </c>
      <c r="O19" s="46" t="n">
        <f aca="false">Assumptions!$E$39</f>
        <v>28</v>
      </c>
      <c r="P19" s="46" t="n">
        <f aca="false">Assumptions!$E$39</f>
        <v>28</v>
      </c>
      <c r="Q19" s="46" t="n">
        <f aca="false">Assumptions!$E$39</f>
        <v>28</v>
      </c>
      <c r="R19" s="46" t="n">
        <f aca="false">Assumptions!$E$39</f>
        <v>28</v>
      </c>
      <c r="S19" s="46" t="n">
        <f aca="false">Assumptions!$E$39</f>
        <v>28</v>
      </c>
      <c r="U19" s="46" t="n">
        <f aca="false">Assumptions!$F$39</f>
        <v>24</v>
      </c>
      <c r="V19" s="46" t="n">
        <f aca="false">Assumptions!$F$39</f>
        <v>24</v>
      </c>
      <c r="W19" s="46" t="n">
        <f aca="false">Assumptions!$F$39</f>
        <v>24</v>
      </c>
      <c r="X19" s="46" t="n">
        <f aca="false">Assumptions!$F$39</f>
        <v>24</v>
      </c>
      <c r="Y19" s="46" t="n">
        <f aca="false">Assumptions!$F$39</f>
        <v>24</v>
      </c>
    </row>
    <row r="20" customFormat="false" ht="15" hidden="false" customHeight="false" outlineLevel="0" collapsed="false">
      <c r="A20" s="33" t="s">
        <v>780</v>
      </c>
      <c r="C20" s="46" t="n">
        <f aca="false">Assumptions!$C$40/Assumptions!$C$19</f>
        <v>6.08695652173913</v>
      </c>
      <c r="D20" s="46" t="n">
        <f aca="false">Assumptions!$C$40/Assumptions!$C$19</f>
        <v>6.08695652173913</v>
      </c>
      <c r="E20" s="46" t="n">
        <f aca="false">Assumptions!$C$40/Assumptions!$C$19</f>
        <v>6.08695652173913</v>
      </c>
      <c r="F20" s="46" t="n">
        <f aca="false">Assumptions!$C$40/Assumptions!$C$19</f>
        <v>6.08695652173913</v>
      </c>
      <c r="G20" s="46" t="n">
        <f aca="false">Assumptions!$C$40/Assumptions!$C$19</f>
        <v>6.08695652173913</v>
      </c>
      <c r="I20" s="46" t="n">
        <f aca="false">Assumptions!$D$40/Assumptions!$C$19</f>
        <v>5.21739130434783</v>
      </c>
      <c r="J20" s="46" t="n">
        <f aca="false">Assumptions!$D$40/Assumptions!$C$19</f>
        <v>5.21739130434783</v>
      </c>
      <c r="K20" s="46" t="n">
        <f aca="false">Assumptions!$D$40/Assumptions!$C$19</f>
        <v>5.21739130434783</v>
      </c>
      <c r="L20" s="46" t="n">
        <f aca="false">Assumptions!$D$40/Assumptions!$C$19</f>
        <v>5.21739130434783</v>
      </c>
      <c r="M20" s="46" t="n">
        <f aca="false">Assumptions!$D$40/Assumptions!$C$19</f>
        <v>5.21739130434783</v>
      </c>
      <c r="O20" s="46" t="n">
        <f aca="false">Assumptions!$E$40/Assumptions!$C$19</f>
        <v>4.34782608695652</v>
      </c>
      <c r="P20" s="46" t="n">
        <f aca="false">Assumptions!$E$40/Assumptions!$C$19</f>
        <v>4.34782608695652</v>
      </c>
      <c r="Q20" s="46" t="n">
        <f aca="false">Assumptions!$E$40/Assumptions!$C$19</f>
        <v>4.34782608695652</v>
      </c>
      <c r="R20" s="46" t="n">
        <f aca="false">Assumptions!$E$40/Assumptions!$C$19</f>
        <v>4.34782608695652</v>
      </c>
      <c r="S20" s="46" t="n">
        <f aca="false">Assumptions!$E$40/Assumptions!$C$19</f>
        <v>4.34782608695652</v>
      </c>
      <c r="U20" s="46" t="n">
        <f aca="false">Assumptions!$F$40/Assumptions!$C$19</f>
        <v>6.52173913043478</v>
      </c>
      <c r="V20" s="46" t="n">
        <f aca="false">Assumptions!$F$40/Assumptions!$C$19</f>
        <v>6.52173913043478</v>
      </c>
      <c r="W20" s="46" t="n">
        <f aca="false">Assumptions!$F$40/Assumptions!$C$19</f>
        <v>6.52173913043478</v>
      </c>
      <c r="X20" s="46" t="n">
        <f aca="false">Assumptions!$F$40/Assumptions!$C$19</f>
        <v>6.52173913043478</v>
      </c>
      <c r="Y20" s="46" t="n">
        <f aca="false">Assumptions!$F$40/Assumptions!$C$19</f>
        <v>6.52173913043478</v>
      </c>
    </row>
    <row r="21" customFormat="false" ht="15" hidden="false" customHeight="false" outlineLevel="0" collapsed="false">
      <c r="A21" s="33" t="s">
        <v>172</v>
      </c>
      <c r="C21" s="46" t="n">
        <f aca="false">'Product Cost'!$D$13*Assumptions!$C$41</f>
        <v>1.815</v>
      </c>
      <c r="D21" s="46" t="n">
        <f aca="false">'Product Cost'!$D$13*Assumptions!$C$41</f>
        <v>1.815</v>
      </c>
      <c r="E21" s="46" t="n">
        <f aca="false">'Product Cost'!$D$13*Assumptions!$C$41</f>
        <v>1.815</v>
      </c>
      <c r="F21" s="46" t="n">
        <f aca="false">'Product Cost'!$D$13*Assumptions!$C$41</f>
        <v>1.815</v>
      </c>
      <c r="G21" s="46" t="n">
        <f aca="false">'Product Cost'!$D$13*Assumptions!$C$41</f>
        <v>1.815</v>
      </c>
      <c r="I21" s="46" t="n">
        <f aca="false">'Product Cost'!$D$13*Assumptions!$D$41</f>
        <v>1.65</v>
      </c>
      <c r="J21" s="46" t="n">
        <f aca="false">'Product Cost'!$D$13*Assumptions!$D$41</f>
        <v>1.65</v>
      </c>
      <c r="K21" s="46" t="n">
        <f aca="false">'Product Cost'!$D$13*Assumptions!$D$41</f>
        <v>1.65</v>
      </c>
      <c r="L21" s="46" t="n">
        <f aca="false">'Product Cost'!$D$13*Assumptions!$D$41</f>
        <v>1.65</v>
      </c>
      <c r="M21" s="46" t="n">
        <f aca="false">'Product Cost'!$D$13*Assumptions!$D$41</f>
        <v>1.65</v>
      </c>
      <c r="O21" s="46" t="n">
        <f aca="false">'Product Cost'!$D$13*Assumptions!$E$41</f>
        <v>1.485</v>
      </c>
      <c r="P21" s="46" t="n">
        <f aca="false">'Product Cost'!$D$13*Assumptions!$E$41</f>
        <v>1.485</v>
      </c>
      <c r="Q21" s="46" t="n">
        <f aca="false">'Product Cost'!$D$13*Assumptions!$E$41</f>
        <v>1.485</v>
      </c>
      <c r="R21" s="46" t="n">
        <f aca="false">'Product Cost'!$D$13*Assumptions!$E$41</f>
        <v>1.485</v>
      </c>
      <c r="S21" s="46" t="n">
        <f aca="false">'Product Cost'!$D$13*Assumptions!$E$41</f>
        <v>1.485</v>
      </c>
      <c r="U21" s="46" t="n">
        <f aca="false">'Product Cost'!$D$13*Assumptions!$F$41</f>
        <v>1.98</v>
      </c>
      <c r="V21" s="46" t="n">
        <f aca="false">'Product Cost'!$D$13*Assumptions!$F$41</f>
        <v>1.98</v>
      </c>
      <c r="W21" s="46" t="n">
        <f aca="false">'Product Cost'!$D$13*Assumptions!$F$41</f>
        <v>1.98</v>
      </c>
      <c r="X21" s="46" t="n">
        <f aca="false">'Product Cost'!$D$13*Assumptions!$F$41</f>
        <v>1.98</v>
      </c>
      <c r="Y21" s="46" t="n">
        <f aca="false">'Product Cost'!$D$13*Assumptions!$F$41</f>
        <v>1.98</v>
      </c>
    </row>
    <row r="22" customFormat="false" ht="15" hidden="false" customHeight="false" outlineLevel="0" collapsed="false">
      <c r="A22" s="33" t="s">
        <v>781</v>
      </c>
      <c r="C22" s="46" t="n">
        <f aca="false">(C20+C21+Assumptions!$C$42+Assumptions!$C$43)*(1+Assumptions!$C$15)</f>
        <v>8.94646630434782</v>
      </c>
      <c r="D22" s="46" t="n">
        <f aca="false">(D20+D21+Assumptions!$C$42+Assumptions!$C$43)*(1+Assumptions!$C$15)</f>
        <v>8.94646630434782</v>
      </c>
      <c r="E22" s="46" t="n">
        <f aca="false">(E20+E21+Assumptions!$C$42+Assumptions!$C$43)*(1+Assumptions!$C$15)</f>
        <v>8.94646630434782</v>
      </c>
      <c r="F22" s="46" t="n">
        <f aca="false">(F20+F21+Assumptions!$C$42+Assumptions!$C$43)*(1+Assumptions!$C$15)</f>
        <v>8.94646630434782</v>
      </c>
      <c r="G22" s="46" t="n">
        <f aca="false">(G20+G21+Assumptions!$C$42+Assumptions!$C$43)*(1+Assumptions!$C$15)</f>
        <v>8.94646630434782</v>
      </c>
      <c r="I22" s="46" t="n">
        <f aca="false">(I20+I21+Assumptions!$D$42+Assumptions!$D$43)*(1+Assumptions!$C$15)</f>
        <v>7.70572826086957</v>
      </c>
      <c r="J22" s="46" t="n">
        <f aca="false">(J20+J21+Assumptions!$D$42+Assumptions!$D$43)*(1+Assumptions!$C$15)</f>
        <v>7.70572826086957</v>
      </c>
      <c r="K22" s="46" t="n">
        <f aca="false">(K20+K21+Assumptions!$D$42+Assumptions!$D$43)*(1+Assumptions!$C$15)</f>
        <v>7.70572826086957</v>
      </c>
      <c r="L22" s="46" t="n">
        <f aca="false">(L20+L21+Assumptions!$D$42+Assumptions!$D$43)*(1+Assumptions!$C$15)</f>
        <v>7.70572826086957</v>
      </c>
      <c r="M22" s="46" t="n">
        <f aca="false">(M20+M21+Assumptions!$D$42+Assumptions!$D$43)*(1+Assumptions!$C$15)</f>
        <v>7.70572826086957</v>
      </c>
      <c r="O22" s="46" t="n">
        <f aca="false">(O20+O21+Assumptions!$E$42+Assumptions!$E$43)*(1+Assumptions!$C$15)</f>
        <v>6.46499021739131</v>
      </c>
      <c r="P22" s="46" t="n">
        <f aca="false">(P20+P21+Assumptions!$E$42+Assumptions!$E$43)*(1+Assumptions!$C$15)</f>
        <v>6.46499021739131</v>
      </c>
      <c r="Q22" s="46" t="n">
        <f aca="false">(Q20+Q21+Assumptions!$E$42+Assumptions!$E$43)*(1+Assumptions!$C$15)</f>
        <v>6.46499021739131</v>
      </c>
      <c r="R22" s="46" t="n">
        <f aca="false">(R20+R21+Assumptions!$E$42+Assumptions!$E$43)*(1+Assumptions!$C$15)</f>
        <v>6.46499021739131</v>
      </c>
      <c r="S22" s="46" t="n">
        <f aca="false">(S20+S21+Assumptions!$E$42+Assumptions!$E$43)*(1+Assumptions!$C$15)</f>
        <v>6.46499021739131</v>
      </c>
      <c r="U22" s="46" t="n">
        <f aca="false">(U20+U21+Assumptions!$F$42+Assumptions!$F$43)*(1+Assumptions!$C$15)</f>
        <v>9.80049782608696</v>
      </c>
      <c r="V22" s="46" t="n">
        <f aca="false">(V20+V21+Assumptions!$F$42+Assumptions!$F$43)*(1+Assumptions!$C$15)</f>
        <v>9.80049782608696</v>
      </c>
      <c r="W22" s="46" t="n">
        <f aca="false">(W20+W21+Assumptions!$F$42+Assumptions!$F$43)*(1+Assumptions!$C$15)</f>
        <v>9.80049782608696</v>
      </c>
      <c r="X22" s="46" t="n">
        <f aca="false">(X20+X21+Assumptions!$F$42+Assumptions!$F$43)*(1+Assumptions!$C$15)</f>
        <v>9.80049782608696</v>
      </c>
      <c r="Y22" s="46" t="n">
        <f aca="false">(Y20+Y21+Assumptions!$F$42+Assumptions!$F$43)*(1+Assumptions!$C$15)</f>
        <v>9.80049782608696</v>
      </c>
    </row>
    <row r="23" customFormat="false" ht="15" hidden="false" customHeight="false" outlineLevel="0" collapsed="false">
      <c r="A23" s="33" t="s">
        <v>174</v>
      </c>
      <c r="C23" s="46" t="n">
        <f aca="false">C22*Assumptions!$C$14</f>
        <v>2.32608123913043</v>
      </c>
      <c r="D23" s="46" t="n">
        <f aca="false">D22*Assumptions!$C$14</f>
        <v>2.32608123913043</v>
      </c>
      <c r="E23" s="46" t="n">
        <f aca="false">E22*Assumptions!$C$14</f>
        <v>2.32608123913043</v>
      </c>
      <c r="F23" s="46" t="n">
        <f aca="false">F22*Assumptions!$C$14</f>
        <v>2.32608123913043</v>
      </c>
      <c r="G23" s="46" t="n">
        <f aca="false">G22*Assumptions!$C$14</f>
        <v>2.32608123913043</v>
      </c>
      <c r="I23" s="46" t="n">
        <f aca="false">I22*Assumptions!$C$14</f>
        <v>2.00348934782609</v>
      </c>
      <c r="J23" s="46" t="n">
        <f aca="false">J22*Assumptions!$C$14</f>
        <v>2.00348934782609</v>
      </c>
      <c r="K23" s="46" t="n">
        <f aca="false">K22*Assumptions!$C$14</f>
        <v>2.00348934782609</v>
      </c>
      <c r="L23" s="46" t="n">
        <f aca="false">L22*Assumptions!$C$14</f>
        <v>2.00348934782609</v>
      </c>
      <c r="M23" s="46" t="n">
        <f aca="false">M22*Assumptions!$C$14</f>
        <v>2.00348934782609</v>
      </c>
      <c r="O23" s="46" t="n">
        <f aca="false">O22*Assumptions!$C$14</f>
        <v>1.68089745652174</v>
      </c>
      <c r="P23" s="46" t="n">
        <f aca="false">P22*Assumptions!$C$14</f>
        <v>1.68089745652174</v>
      </c>
      <c r="Q23" s="46" t="n">
        <f aca="false">Q22*Assumptions!$C$14</f>
        <v>1.68089745652174</v>
      </c>
      <c r="R23" s="46" t="n">
        <f aca="false">R22*Assumptions!$C$14</f>
        <v>1.68089745652174</v>
      </c>
      <c r="S23" s="46" t="n">
        <f aca="false">S22*Assumptions!$C$14</f>
        <v>1.68089745652174</v>
      </c>
      <c r="U23" s="46" t="n">
        <f aca="false">U22*Assumptions!$C$14</f>
        <v>2.54812943478261</v>
      </c>
      <c r="V23" s="46" t="n">
        <f aca="false">V22*Assumptions!$C$14</f>
        <v>2.54812943478261</v>
      </c>
      <c r="W23" s="46" t="n">
        <f aca="false">W22*Assumptions!$C$14</f>
        <v>2.54812943478261</v>
      </c>
      <c r="X23" s="46" t="n">
        <f aca="false">X22*Assumptions!$C$14</f>
        <v>2.54812943478261</v>
      </c>
      <c r="Y23" s="46" t="n">
        <f aca="false">Y22*Assumptions!$C$14</f>
        <v>2.54812943478261</v>
      </c>
    </row>
    <row r="24" customFormat="false" ht="15" hidden="false" customHeight="false" outlineLevel="0" collapsed="false">
      <c r="A24" s="33" t="s">
        <v>782</v>
      </c>
      <c r="C24" s="46" t="n">
        <f aca="false">C22+C23+Assumptions!$C$16+Assumptions!$C$44</f>
        <v>11.7025475434783</v>
      </c>
      <c r="D24" s="46" t="n">
        <f aca="false">D22+D23+Assumptions!$C$16+Assumptions!$C$44</f>
        <v>11.7025475434783</v>
      </c>
      <c r="E24" s="46" t="n">
        <f aca="false">E22+E23+Assumptions!$C$16+Assumptions!$C$44</f>
        <v>11.7025475434783</v>
      </c>
      <c r="F24" s="46" t="n">
        <f aca="false">F22+F23+Assumptions!$C$16+Assumptions!$C$44</f>
        <v>11.7025475434783</v>
      </c>
      <c r="G24" s="46" t="n">
        <f aca="false">G22+G23+Assumptions!$C$16+Assumptions!$C$44</f>
        <v>11.7025475434783</v>
      </c>
      <c r="I24" s="46" t="n">
        <f aca="false">I22+I23+Assumptions!$C$16+Assumptions!$D$44</f>
        <v>10.0892176086957</v>
      </c>
      <c r="J24" s="46" t="n">
        <f aca="false">J22+J23+Assumptions!$C$16+Assumptions!$D$44</f>
        <v>10.0892176086957</v>
      </c>
      <c r="K24" s="46" t="n">
        <f aca="false">K22+K23+Assumptions!$C$16+Assumptions!$D$44</f>
        <v>10.0892176086957</v>
      </c>
      <c r="L24" s="46" t="n">
        <f aca="false">L22+L23+Assumptions!$C$16+Assumptions!$D$44</f>
        <v>10.0892176086957</v>
      </c>
      <c r="M24" s="46" t="n">
        <f aca="false">M22+M23+Assumptions!$C$16+Assumptions!$D$44</f>
        <v>10.0892176086957</v>
      </c>
      <c r="O24" s="46" t="n">
        <f aca="false">O22+O23+Assumptions!$C$16+Assumptions!$E$44</f>
        <v>8.47588767391305</v>
      </c>
      <c r="P24" s="46" t="n">
        <f aca="false">P22+P23+Assumptions!$C$16+Assumptions!$E$44</f>
        <v>8.47588767391305</v>
      </c>
      <c r="Q24" s="46" t="n">
        <f aca="false">Q22+Q23+Assumptions!$C$16+Assumptions!$E$44</f>
        <v>8.47588767391305</v>
      </c>
      <c r="R24" s="46" t="n">
        <f aca="false">R22+R23+Assumptions!$C$16+Assumptions!$E$44</f>
        <v>8.47588767391305</v>
      </c>
      <c r="S24" s="46" t="n">
        <f aca="false">S22+S23+Assumptions!$C$16+Assumptions!$E$44</f>
        <v>8.47588767391305</v>
      </c>
      <c r="U24" s="46" t="n">
        <f aca="false">U22+U23+Assumptions!$C$16+Assumptions!$F$44</f>
        <v>12.7786272608696</v>
      </c>
      <c r="V24" s="46" t="n">
        <f aca="false">V22+V23+Assumptions!$C$16+Assumptions!$F$44</f>
        <v>12.7786272608696</v>
      </c>
      <c r="W24" s="46" t="n">
        <f aca="false">W22+W23+Assumptions!$C$16+Assumptions!$F$44</f>
        <v>12.7786272608696</v>
      </c>
      <c r="X24" s="46" t="n">
        <f aca="false">X22+X23+Assumptions!$C$16+Assumptions!$F$44</f>
        <v>12.7786272608696</v>
      </c>
      <c r="Y24" s="46" t="n">
        <f aca="false">Y22+Y23+Assumptions!$C$16+Assumptions!$F$44</f>
        <v>12.7786272608696</v>
      </c>
    </row>
    <row r="25" customFormat="false" ht="15" hidden="false" customHeight="false" outlineLevel="0" collapsed="false">
      <c r="A25" s="33" t="s">
        <v>176</v>
      </c>
      <c r="C25" s="46" t="n">
        <f aca="false">MAX(Assumptions!$C$11*C19,Assumptions!$C$12/1000)</f>
        <v>3.16</v>
      </c>
      <c r="D25" s="46" t="n">
        <f aca="false">MAX(Assumptions!$C$11*D19,Assumptions!$C$12/1000)</f>
        <v>3.16</v>
      </c>
      <c r="E25" s="46" t="n">
        <f aca="false">MAX(Assumptions!$C$11*E19,Assumptions!$C$12/1000)</f>
        <v>3.16</v>
      </c>
      <c r="F25" s="46" t="n">
        <f aca="false">MAX(Assumptions!$C$11*F19,Assumptions!$C$12/1000)</f>
        <v>3.16</v>
      </c>
      <c r="G25" s="46" t="n">
        <f aca="false">MAX(Assumptions!$C$11*G19,Assumptions!$C$12/1000)</f>
        <v>3.16</v>
      </c>
      <c r="I25" s="46" t="n">
        <f aca="false">MAX(Assumptions!$C$11*I19,Assumptions!$C$12/1000)</f>
        <v>3.792</v>
      </c>
      <c r="J25" s="46" t="n">
        <f aca="false">MAX(Assumptions!$C$11*J19,Assumptions!$C$12/1000)</f>
        <v>3.792</v>
      </c>
      <c r="K25" s="46" t="n">
        <f aca="false">MAX(Assumptions!$C$11*K19,Assumptions!$C$12/1000)</f>
        <v>3.792</v>
      </c>
      <c r="L25" s="46" t="n">
        <f aca="false">MAX(Assumptions!$C$11*L19,Assumptions!$C$12/1000)</f>
        <v>3.792</v>
      </c>
      <c r="M25" s="46" t="n">
        <f aca="false">MAX(Assumptions!$C$11*M19,Assumptions!$C$12/1000)</f>
        <v>3.792</v>
      </c>
      <c r="O25" s="46" t="n">
        <f aca="false">MAX(Assumptions!$C$11*O19,Assumptions!$C$12/1000)</f>
        <v>4.424</v>
      </c>
      <c r="P25" s="46" t="n">
        <f aca="false">MAX(Assumptions!$C$11*P19,Assumptions!$C$12/1000)</f>
        <v>4.424</v>
      </c>
      <c r="Q25" s="46" t="n">
        <f aca="false">MAX(Assumptions!$C$11*Q19,Assumptions!$C$12/1000)</f>
        <v>4.424</v>
      </c>
      <c r="R25" s="46" t="n">
        <f aca="false">MAX(Assumptions!$C$11*R19,Assumptions!$C$12/1000)</f>
        <v>4.424</v>
      </c>
      <c r="S25" s="46" t="n">
        <f aca="false">MAX(Assumptions!$C$11*S19,Assumptions!$C$12/1000)</f>
        <v>4.424</v>
      </c>
      <c r="U25" s="46" t="n">
        <f aca="false">MAX(Assumptions!$C$11*U19,Assumptions!$C$12/1000)</f>
        <v>3.792</v>
      </c>
      <c r="V25" s="46" t="n">
        <f aca="false">MAX(Assumptions!$C$11*V19,Assumptions!$C$12/1000)</f>
        <v>3.792</v>
      </c>
      <c r="W25" s="46" t="n">
        <f aca="false">MAX(Assumptions!$C$11*W19,Assumptions!$C$12/1000)</f>
        <v>3.792</v>
      </c>
      <c r="X25" s="46" t="n">
        <f aca="false">MAX(Assumptions!$C$11*X19,Assumptions!$C$12/1000)</f>
        <v>3.792</v>
      </c>
      <c r="Y25" s="46" t="n">
        <f aca="false">MAX(Assumptions!$C$11*Y19,Assumptions!$C$12/1000)</f>
        <v>3.792</v>
      </c>
    </row>
    <row r="26" customFormat="false" ht="15" hidden="false" customHeight="false" outlineLevel="0" collapsed="false">
      <c r="A26" s="33" t="s">
        <v>177</v>
      </c>
      <c r="C26" s="46" t="n">
        <f aca="false">(C19/(1+Assumptions!$C$10)-C19*(Assumptions!$C$13+Assumptions!$C$45))*(1-Assumptions!$C$28)-C10*(C25+C24)</f>
        <v>-2.71036316977627</v>
      </c>
      <c r="D26" s="46" t="n">
        <f aca="false">(D19/(1+Assumptions!$C$10)-D19*(Assumptions!$C$13+Assumptions!$C$45))*(1-Assumptions!$C$28)-D10*(D25+D24)</f>
        <v>-2.71036316977627</v>
      </c>
      <c r="E26" s="46" t="n">
        <f aca="false">(E19/(1+Assumptions!$C$10)-E19*(Assumptions!$C$13+Assumptions!$C$45))*(1-Assumptions!$C$28)-E10*(E25+E24)</f>
        <v>-2.71036316977627</v>
      </c>
      <c r="F26" s="46" t="n">
        <f aca="false">(F19/(1+Assumptions!$C$10)-F19*(Assumptions!$C$13+Assumptions!$C$45))*(1-Assumptions!$C$28)-F10*(F25+F24)</f>
        <v>-2.71036316977627</v>
      </c>
      <c r="G26" s="46" t="n">
        <f aca="false">(G19/(1+Assumptions!$C$10)-G19*(Assumptions!$C$13+Assumptions!$C$45))*(1-Assumptions!$C$28)-G10*(G25+G24)</f>
        <v>-2.71036316977627</v>
      </c>
      <c r="I26" s="46" t="n">
        <f aca="false">(I19/(1+Assumptions!$C$10)-I19*(Assumptions!$C$13+Assumptions!$D$45))*(1-Assumptions!$C$28)-I10*(I25+I24)</f>
        <v>1.74774059832877</v>
      </c>
      <c r="J26" s="46" t="n">
        <f aca="false">(J19/(1+Assumptions!$C$10)-J19*(Assumptions!$C$13+Assumptions!$D$45))*(1-Assumptions!$C$28)-J10*(J25+J24)</f>
        <v>1.74774059832877</v>
      </c>
      <c r="K26" s="46" t="n">
        <f aca="false">(K19/(1+Assumptions!$C$10)-K19*(Assumptions!$C$13+Assumptions!$D$45))*(1-Assumptions!$C$28)-K10*(K25+K24)</f>
        <v>1.74774059832877</v>
      </c>
      <c r="L26" s="46" t="n">
        <f aca="false">(L19/(1+Assumptions!$C$10)-L19*(Assumptions!$C$13+Assumptions!$D$45))*(1-Assumptions!$C$28)-L10*(L25+L24)</f>
        <v>1.74774059832877</v>
      </c>
      <c r="M26" s="46" t="n">
        <f aca="false">(M19/(1+Assumptions!$C$10)-M19*(Assumptions!$C$13+Assumptions!$D$45))*(1-Assumptions!$C$28)-M10*(M25+M24)</f>
        <v>1.74774059832877</v>
      </c>
      <c r="O26" s="46" t="n">
        <f aca="false">(O19/(1+Assumptions!$C$10)-O19*(Assumptions!$C$13+Assumptions!$E$45))*(1-Assumptions!$C$28)-O10*(O25+O24)</f>
        <v>5.8748479882544</v>
      </c>
      <c r="P26" s="46" t="n">
        <f aca="false">(P19/(1+Assumptions!$C$10)-P19*(Assumptions!$C$13+Assumptions!$E$45))*(1-Assumptions!$C$28)-P10*(P25+P24)</f>
        <v>5.8748479882544</v>
      </c>
      <c r="Q26" s="46" t="n">
        <f aca="false">(Q19/(1+Assumptions!$C$10)-Q19*(Assumptions!$C$13+Assumptions!$E$45))*(1-Assumptions!$C$28)-Q10*(Q25+Q24)</f>
        <v>5.8748479882544</v>
      </c>
      <c r="R26" s="46" t="n">
        <f aca="false">(R19/(1+Assumptions!$C$10)-R19*(Assumptions!$C$13+Assumptions!$E$45))*(1-Assumptions!$C$28)-R10*(R25+R24)</f>
        <v>5.8748479882544</v>
      </c>
      <c r="S26" s="46" t="n">
        <f aca="false">(S19/(1+Assumptions!$C$10)-S19*(Assumptions!$C$13+Assumptions!$E$45))*(1-Assumptions!$C$28)-S10*(S25+S24)</f>
        <v>5.8748479882544</v>
      </c>
      <c r="U26" s="46" t="n">
        <f aca="false">(U19/(1+Assumptions!$C$10)-U19*(Assumptions!$C$13+Assumptions!$F$45))*(1-Assumptions!$C$28)-U10*(U25+U24)</f>
        <v>-2.43966571714352</v>
      </c>
      <c r="V26" s="46" t="n">
        <f aca="false">(V19/(1+Assumptions!$C$10)-V19*(Assumptions!$C$13+Assumptions!$F$45))*(1-Assumptions!$C$28)-V10*(V25+V24)</f>
        <v>-2.43966571714352</v>
      </c>
      <c r="W26" s="46" t="n">
        <f aca="false">(W19/(1+Assumptions!$C$10)-W19*(Assumptions!$C$13+Assumptions!$F$45))*(1-Assumptions!$C$28)-W10*(W25+W24)</f>
        <v>-2.43966571714352</v>
      </c>
      <c r="X26" s="46" t="n">
        <f aca="false">(X19/(1+Assumptions!$C$10)-X19*(Assumptions!$C$13+Assumptions!$F$45))*(1-Assumptions!$C$28)-X10*(X25+X24)</f>
        <v>-2.43966571714352</v>
      </c>
      <c r="Y26" s="46" t="n">
        <f aca="false">(Y19/(1+Assumptions!$C$10)-Y19*(Assumptions!$C$13+Assumptions!$F$45))*(1-Assumptions!$C$28)-Y10*(Y25+Y24)</f>
        <v>-2.43966571714352</v>
      </c>
    </row>
    <row r="28" customFormat="false" ht="15" hidden="false" customHeight="false" outlineLevel="0" collapsed="false">
      <c r="A28" s="23" t="s">
        <v>783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customFormat="false" ht="15" hidden="false" customHeight="false" outlineLevel="0" collapsed="false">
      <c r="A29" s="33" t="s">
        <v>784</v>
      </c>
      <c r="C29" s="47" t="n">
        <f aca="false">C14*C19</f>
        <v>0</v>
      </c>
      <c r="D29" s="47" t="n">
        <f aca="false">D14*D19</f>
        <v>20000</v>
      </c>
      <c r="E29" s="47" t="n">
        <f aca="false">E14*E19</f>
        <v>30000</v>
      </c>
      <c r="F29" s="47" t="n">
        <f aca="false">F14*F19</f>
        <v>40000</v>
      </c>
      <c r="G29" s="47" t="n">
        <f aca="false">G14*G19</f>
        <v>50000</v>
      </c>
      <c r="I29" s="47" t="n">
        <f aca="false">I14*I19</f>
        <v>0</v>
      </c>
      <c r="J29" s="47" t="n">
        <f aca="false">J14*J19</f>
        <v>48000</v>
      </c>
      <c r="K29" s="47" t="n">
        <f aca="false">K14*K19</f>
        <v>84000</v>
      </c>
      <c r="L29" s="47" t="n">
        <f aca="false">L14*L19</f>
        <v>120000</v>
      </c>
      <c r="M29" s="47" t="n">
        <f aca="false">M14*M19</f>
        <v>156000</v>
      </c>
      <c r="O29" s="47" t="n">
        <f aca="false">O14*O19</f>
        <v>0</v>
      </c>
      <c r="P29" s="47" t="n">
        <f aca="false">P14*P19</f>
        <v>98000</v>
      </c>
      <c r="Q29" s="47" t="n">
        <f aca="false">Q14*Q19</f>
        <v>168000</v>
      </c>
      <c r="R29" s="47" t="n">
        <f aca="false">R14*R19</f>
        <v>252000</v>
      </c>
      <c r="S29" s="47" t="n">
        <f aca="false">S14*S19</f>
        <v>336000</v>
      </c>
      <c r="U29" s="47" t="n">
        <f aca="false">U14*U19</f>
        <v>0</v>
      </c>
      <c r="V29" s="47" t="n">
        <f aca="false">V14*V19</f>
        <v>48000</v>
      </c>
      <c r="W29" s="47" t="n">
        <f aca="false">W14*W19</f>
        <v>37268.5185185185</v>
      </c>
      <c r="X29" s="47" t="n">
        <f aca="false">X14*X19</f>
        <v>0</v>
      </c>
      <c r="Y29" s="47" t="n">
        <f aca="false">Y14*Y19</f>
        <v>0</v>
      </c>
    </row>
    <row r="30" customFormat="false" ht="15" hidden="false" customHeight="false" outlineLevel="0" collapsed="false">
      <c r="A30" s="33" t="s">
        <v>295</v>
      </c>
      <c r="C30" s="47" t="n">
        <f aca="false">C14*C19/(1+Assumptions!$C$10)</f>
        <v>0</v>
      </c>
      <c r="D30" s="47" t="n">
        <f aca="false">D14*D19/(1+Assumptions!$C$10)</f>
        <v>16528.9256198347</v>
      </c>
      <c r="E30" s="47" t="n">
        <f aca="false">E14*E19/(1+Assumptions!$C$10)</f>
        <v>24793.3884297521</v>
      </c>
      <c r="F30" s="47" t="n">
        <f aca="false">F14*F19/(1+Assumptions!$C$10)</f>
        <v>33057.8512396694</v>
      </c>
      <c r="G30" s="47" t="n">
        <f aca="false">G14*G19/(1+Assumptions!$C$10)</f>
        <v>41322.3140495868</v>
      </c>
      <c r="I30" s="47" t="n">
        <f aca="false">I14*I19/(1+Assumptions!$C$10)</f>
        <v>0</v>
      </c>
      <c r="J30" s="47" t="n">
        <f aca="false">J14*J19/(1+Assumptions!$C$10)</f>
        <v>39669.4214876033</v>
      </c>
      <c r="K30" s="47" t="n">
        <f aca="false">K14*K19/(1+Assumptions!$C$10)</f>
        <v>69421.4876033058</v>
      </c>
      <c r="L30" s="47" t="n">
        <f aca="false">L14*L19/(1+Assumptions!$C$10)</f>
        <v>99173.5537190083</v>
      </c>
      <c r="M30" s="47" t="n">
        <f aca="false">M14*M19/(1+Assumptions!$C$10)</f>
        <v>128925.619834711</v>
      </c>
      <c r="O30" s="47" t="n">
        <f aca="false">O14*O19/(1+Assumptions!$C$10)</f>
        <v>0</v>
      </c>
      <c r="P30" s="47" t="n">
        <f aca="false">P14*P19/(1+Assumptions!$C$10)</f>
        <v>80991.7355371901</v>
      </c>
      <c r="Q30" s="47" t="n">
        <f aca="false">Q14*Q19/(1+Assumptions!$C$10)</f>
        <v>138842.975206612</v>
      </c>
      <c r="R30" s="47" t="n">
        <f aca="false">R14*R19/(1+Assumptions!$C$10)</f>
        <v>208264.462809917</v>
      </c>
      <c r="S30" s="47" t="n">
        <f aca="false">S14*S19/(1+Assumptions!$C$10)</f>
        <v>277685.950413223</v>
      </c>
      <c r="U30" s="47" t="n">
        <f aca="false">U14*U19/(1+Assumptions!$C$10)</f>
        <v>0</v>
      </c>
      <c r="V30" s="47" t="n">
        <f aca="false">V14*V19/(1+Assumptions!$C$10)</f>
        <v>39669.4214876033</v>
      </c>
      <c r="W30" s="47" t="n">
        <f aca="false">W14*W19/(1+Assumptions!$C$10)</f>
        <v>30800.4285277013</v>
      </c>
      <c r="X30" s="47" t="n">
        <f aca="false">X14*X19/(1+Assumptions!$C$10)</f>
        <v>0</v>
      </c>
      <c r="Y30" s="47" t="n">
        <f aca="false">Y14*Y19/(1+Assumptions!$C$10)</f>
        <v>0</v>
      </c>
    </row>
    <row r="31" customFormat="false" ht="15" hidden="false" customHeight="false" outlineLevel="0" collapsed="false">
      <c r="A31" s="33" t="s">
        <v>785</v>
      </c>
      <c r="C31" s="47" t="n">
        <f aca="false">C14*C19*Assumptions!$C$13</f>
        <v>0</v>
      </c>
      <c r="D31" s="47" t="n">
        <f aca="false">D14*D19*Assumptions!$C$13</f>
        <v>1800</v>
      </c>
      <c r="E31" s="47" t="n">
        <f aca="false">E14*E19*Assumptions!$C$13</f>
        <v>2700</v>
      </c>
      <c r="F31" s="47" t="n">
        <f aca="false">F14*F19*Assumptions!$C$13</f>
        <v>3600</v>
      </c>
      <c r="G31" s="47" t="n">
        <f aca="false">G14*G19*Assumptions!$C$13</f>
        <v>4500</v>
      </c>
      <c r="I31" s="47" t="n">
        <f aca="false">I14*I19*Assumptions!$C$13</f>
        <v>0</v>
      </c>
      <c r="J31" s="47" t="n">
        <f aca="false">J14*J19*Assumptions!$C$13</f>
        <v>4320</v>
      </c>
      <c r="K31" s="47" t="n">
        <f aca="false">K14*K19*Assumptions!$C$13</f>
        <v>7560</v>
      </c>
      <c r="L31" s="47" t="n">
        <f aca="false">L14*L19*Assumptions!$C$13</f>
        <v>10800</v>
      </c>
      <c r="M31" s="47" t="n">
        <f aca="false">M14*M19*Assumptions!$C$13</f>
        <v>14040</v>
      </c>
      <c r="O31" s="47" t="n">
        <f aca="false">O14*O19*Assumptions!$C$13</f>
        <v>0</v>
      </c>
      <c r="P31" s="47" t="n">
        <f aca="false">P14*P19*Assumptions!$C$13</f>
        <v>8820</v>
      </c>
      <c r="Q31" s="47" t="n">
        <f aca="false">Q14*Q19*Assumptions!$C$13</f>
        <v>15120</v>
      </c>
      <c r="R31" s="47" t="n">
        <f aca="false">R14*R19*Assumptions!$C$13</f>
        <v>22680</v>
      </c>
      <c r="S31" s="47" t="n">
        <f aca="false">S14*S19*Assumptions!$C$13</f>
        <v>30240</v>
      </c>
      <c r="U31" s="47" t="n">
        <f aca="false">U14*U19*Assumptions!$C$13</f>
        <v>0</v>
      </c>
      <c r="V31" s="47" t="n">
        <f aca="false">V14*V19*Assumptions!$C$13</f>
        <v>4320</v>
      </c>
      <c r="W31" s="47" t="n">
        <f aca="false">W14*W19*Assumptions!$C$13</f>
        <v>3354.16666666667</v>
      </c>
      <c r="X31" s="47" t="n">
        <f aca="false">X14*X19*Assumptions!$C$13</f>
        <v>0</v>
      </c>
      <c r="Y31" s="47" t="n">
        <f aca="false">Y14*Y19*Assumptions!$C$13</f>
        <v>0</v>
      </c>
    </row>
    <row r="32" customFormat="false" ht="15" hidden="false" customHeight="false" outlineLevel="0" collapsed="false">
      <c r="A32" s="33" t="s">
        <v>786</v>
      </c>
      <c r="C32" s="47" t="n">
        <f aca="false">C14*C19*Assumptions!$C$45</f>
        <v>0</v>
      </c>
      <c r="D32" s="47" t="n">
        <f aca="false">D14*D19*Assumptions!$C$45</f>
        <v>1200</v>
      </c>
      <c r="E32" s="47" t="n">
        <f aca="false">E14*E19*Assumptions!$C$45</f>
        <v>1800</v>
      </c>
      <c r="F32" s="47" t="n">
        <f aca="false">F14*F19*Assumptions!$C$45</f>
        <v>2400</v>
      </c>
      <c r="G32" s="47" t="n">
        <f aca="false">G14*G19*Assumptions!$C$45</f>
        <v>3000</v>
      </c>
      <c r="I32" s="47" t="n">
        <f aca="false">I14*I19*Assumptions!$D$45</f>
        <v>0</v>
      </c>
      <c r="J32" s="47" t="n">
        <f aca="false">J14*J19*Assumptions!$D$45</f>
        <v>2400</v>
      </c>
      <c r="K32" s="47" t="n">
        <f aca="false">K14*K19*Assumptions!$D$45</f>
        <v>4200</v>
      </c>
      <c r="L32" s="47" t="n">
        <f aca="false">L14*L19*Assumptions!$D$45</f>
        <v>6000</v>
      </c>
      <c r="M32" s="47" t="n">
        <f aca="false">M14*M19*Assumptions!$D$45</f>
        <v>7800</v>
      </c>
      <c r="O32" s="47" t="n">
        <f aca="false">O14*O19*Assumptions!$E$45</f>
        <v>0</v>
      </c>
      <c r="P32" s="47" t="n">
        <f aca="false">P14*P19*Assumptions!$E$45</f>
        <v>4410</v>
      </c>
      <c r="Q32" s="47" t="n">
        <f aca="false">Q14*Q19*Assumptions!$E$45</f>
        <v>7560</v>
      </c>
      <c r="R32" s="47" t="n">
        <f aca="false">R14*R19*Assumptions!$E$45</f>
        <v>11340</v>
      </c>
      <c r="S32" s="47" t="n">
        <f aca="false">S14*S19*Assumptions!$E$45</f>
        <v>15120</v>
      </c>
      <c r="U32" s="47" t="n">
        <f aca="false">U14*U19*Assumptions!$F$45</f>
        <v>0</v>
      </c>
      <c r="V32" s="47" t="n">
        <f aca="false">V14*V19*Assumptions!$F$45</f>
        <v>2880</v>
      </c>
      <c r="W32" s="47" t="n">
        <f aca="false">W14*W19*Assumptions!$F$45</f>
        <v>2236.11111111111</v>
      </c>
      <c r="X32" s="47" t="n">
        <f aca="false">X14*X19*Assumptions!$F$45</f>
        <v>0</v>
      </c>
      <c r="Y32" s="47" t="n">
        <f aca="false">Y14*Y19*Assumptions!$F$45</f>
        <v>0</v>
      </c>
    </row>
    <row r="33" customFormat="false" ht="15" hidden="false" customHeight="false" outlineLevel="0" collapsed="false">
      <c r="A33" s="33" t="s">
        <v>787</v>
      </c>
      <c r="C33" s="47" t="n">
        <f aca="false">C30-C31-C32</f>
        <v>0</v>
      </c>
      <c r="D33" s="47" t="n">
        <f aca="false">D30-D31-D32</f>
        <v>13528.9256198347</v>
      </c>
      <c r="E33" s="47" t="n">
        <f aca="false">E30-E31-E32</f>
        <v>20293.3884297521</v>
      </c>
      <c r="F33" s="47" t="n">
        <f aca="false">F30-F31-F32</f>
        <v>27057.8512396694</v>
      </c>
      <c r="G33" s="47" t="n">
        <f aca="false">G30-G31-G32</f>
        <v>33822.3140495868</v>
      </c>
      <c r="I33" s="47" t="n">
        <f aca="false">I30-I31-I32</f>
        <v>0</v>
      </c>
      <c r="J33" s="47" t="n">
        <f aca="false">J30-J31-J32</f>
        <v>32949.4214876033</v>
      </c>
      <c r="K33" s="47" t="n">
        <f aca="false">K30-K31-K32</f>
        <v>57661.4876033058</v>
      </c>
      <c r="L33" s="47" t="n">
        <f aca="false">L30-L31-L32</f>
        <v>82373.5537190083</v>
      </c>
      <c r="M33" s="47" t="n">
        <f aca="false">M30-M31-M32</f>
        <v>107085.619834711</v>
      </c>
      <c r="O33" s="47" t="n">
        <f aca="false">O30-O31-O32</f>
        <v>0</v>
      </c>
      <c r="P33" s="47" t="n">
        <f aca="false">P30-P31-P32</f>
        <v>67761.7355371901</v>
      </c>
      <c r="Q33" s="47" t="n">
        <f aca="false">Q30-Q31-Q32</f>
        <v>116162.975206612</v>
      </c>
      <c r="R33" s="47" t="n">
        <f aca="false">R30-R31-R32</f>
        <v>174244.462809917</v>
      </c>
      <c r="S33" s="47" t="n">
        <f aca="false">S30-S31-S32</f>
        <v>232325.950413223</v>
      </c>
      <c r="U33" s="47" t="n">
        <f aca="false">U30-U31-U32</f>
        <v>0</v>
      </c>
      <c r="V33" s="47" t="n">
        <f aca="false">V30-V31-V32</f>
        <v>32469.4214876033</v>
      </c>
      <c r="W33" s="47" t="n">
        <f aca="false">W30-W31-W32</f>
        <v>25210.1507499235</v>
      </c>
      <c r="X33" s="47" t="n">
        <f aca="false">X30-X31-X32</f>
        <v>0</v>
      </c>
      <c r="Y33" s="47" t="n">
        <f aca="false">Y30-Y31-Y32</f>
        <v>0</v>
      </c>
    </row>
    <row r="34" customFormat="false" ht="15" hidden="false" customHeight="false" outlineLevel="0" collapsed="false">
      <c r="A34" s="33" t="s">
        <v>788</v>
      </c>
      <c r="C34" s="47" t="n">
        <f aca="false">C15*C25</f>
        <v>0</v>
      </c>
      <c r="D34" s="47" t="n">
        <f aca="false">D15*D25</f>
        <v>3452.71578947368</v>
      </c>
      <c r="E34" s="47" t="n">
        <f aca="false">E15*E25</f>
        <v>5179.07368421053</v>
      </c>
      <c r="F34" s="47" t="n">
        <f aca="false">F15*F25</f>
        <v>6905.43157894737</v>
      </c>
      <c r="G34" s="47" t="n">
        <f aca="false">G15*G25</f>
        <v>8631.78947368421</v>
      </c>
      <c r="I34" s="47" t="n">
        <f aca="false">I15*I25</f>
        <v>0</v>
      </c>
      <c r="J34" s="47" t="n">
        <f aca="false">J15*J25</f>
        <v>8046.07670103093</v>
      </c>
      <c r="K34" s="47" t="n">
        <f aca="false">K15*K25</f>
        <v>14080.6342268041</v>
      </c>
      <c r="L34" s="47" t="n">
        <f aca="false">L15*L25</f>
        <v>20115.1917525773</v>
      </c>
      <c r="M34" s="47" t="n">
        <f aca="false">M15*M25</f>
        <v>26149.7492783505</v>
      </c>
      <c r="O34" s="47" t="n">
        <f aca="false">O15*O25</f>
        <v>0</v>
      </c>
      <c r="P34" s="47" t="n">
        <f aca="false">P15*P25</f>
        <v>16187.1</v>
      </c>
      <c r="Q34" s="47" t="n">
        <f aca="false">Q15*Q25</f>
        <v>27749.3142857143</v>
      </c>
      <c r="R34" s="47" t="n">
        <f aca="false">R15*R25</f>
        <v>41623.9714285714</v>
      </c>
      <c r="S34" s="47" t="n">
        <f aca="false">S15*S25</f>
        <v>55498.6285714286</v>
      </c>
      <c r="U34" s="47" t="n">
        <f aca="false">U15*U25</f>
        <v>0</v>
      </c>
      <c r="V34" s="47" t="n">
        <f aca="false">V15*V25</f>
        <v>8546.83826086957</v>
      </c>
      <c r="W34" s="47" t="n">
        <f aca="false">W15*W25</f>
        <v>6636</v>
      </c>
      <c r="X34" s="47" t="n">
        <f aca="false">X15*X25</f>
        <v>0</v>
      </c>
      <c r="Y34" s="47" t="n">
        <f aca="false">Y15*Y25</f>
        <v>0</v>
      </c>
    </row>
    <row r="35" customFormat="false" ht="15" hidden="false" customHeight="false" outlineLevel="0" collapsed="false">
      <c r="A35" s="33" t="s">
        <v>300</v>
      </c>
      <c r="C35" s="47" t="n">
        <f aca="false">C33-C34</f>
        <v>0</v>
      </c>
      <c r="D35" s="47" t="n">
        <f aca="false">D33-D34</f>
        <v>10076.209830361</v>
      </c>
      <c r="E35" s="47" t="n">
        <f aca="false">E33-E34</f>
        <v>15114.3147455415</v>
      </c>
      <c r="F35" s="47" t="n">
        <f aca="false">F33-F34</f>
        <v>20152.4196607221</v>
      </c>
      <c r="G35" s="47" t="n">
        <f aca="false">G33-G34</f>
        <v>25190.5245759026</v>
      </c>
      <c r="I35" s="47" t="n">
        <f aca="false">I33-I34</f>
        <v>0</v>
      </c>
      <c r="J35" s="47" t="n">
        <f aca="false">J33-J34</f>
        <v>24903.3447865724</v>
      </c>
      <c r="K35" s="47" t="n">
        <f aca="false">K33-K34</f>
        <v>43580.8533765017</v>
      </c>
      <c r="L35" s="47" t="n">
        <f aca="false">L33-L34</f>
        <v>62258.361966431</v>
      </c>
      <c r="M35" s="47" t="n">
        <f aca="false">M33-M34</f>
        <v>80935.8705563602</v>
      </c>
      <c r="O35" s="47" t="n">
        <f aca="false">O33-O34</f>
        <v>0</v>
      </c>
      <c r="P35" s="47" t="n">
        <f aca="false">P33-P34</f>
        <v>51574.6355371901</v>
      </c>
      <c r="Q35" s="47" t="n">
        <f aca="false">Q33-Q34</f>
        <v>88413.6609208973</v>
      </c>
      <c r="R35" s="47" t="n">
        <f aca="false">R33-R34</f>
        <v>132620.491381346</v>
      </c>
      <c r="S35" s="47" t="n">
        <f aca="false">S33-S34</f>
        <v>176827.321841795</v>
      </c>
      <c r="U35" s="47" t="n">
        <f aca="false">U33-U34</f>
        <v>0</v>
      </c>
      <c r="V35" s="47" t="n">
        <f aca="false">V33-V34</f>
        <v>23922.5832267337</v>
      </c>
      <c r="W35" s="47" t="n">
        <f aca="false">W33-W34</f>
        <v>18574.1507499235</v>
      </c>
      <c r="X35" s="47" t="n">
        <f aca="false">X33-X34</f>
        <v>0</v>
      </c>
      <c r="Y35" s="47" t="n">
        <f aca="false">Y33-Y34</f>
        <v>0</v>
      </c>
    </row>
    <row r="36" customFormat="false" ht="15" hidden="false" customHeight="false" outlineLevel="0" collapsed="false">
      <c r="A36" s="33" t="s">
        <v>789</v>
      </c>
      <c r="C36" s="47" t="n">
        <f aca="false">C15*C24</f>
        <v>0</v>
      </c>
      <c r="D36" s="47" t="n">
        <f aca="false">D15*D24</f>
        <v>12786.5730001373</v>
      </c>
      <c r="E36" s="47" t="n">
        <f aca="false">E15*E24</f>
        <v>19179.8595002059</v>
      </c>
      <c r="F36" s="47" t="n">
        <f aca="false">F15*F24</f>
        <v>25573.1460002746</v>
      </c>
      <c r="G36" s="47" t="n">
        <f aca="false">G15*G24</f>
        <v>31966.4325003432</v>
      </c>
      <c r="I36" s="47" t="n">
        <f aca="false">I15*I24</f>
        <v>0</v>
      </c>
      <c r="J36" s="47" t="n">
        <f aca="false">J15*J24</f>
        <v>21407.8635899148</v>
      </c>
      <c r="K36" s="47" t="n">
        <f aca="false">K15*K24</f>
        <v>37463.761282351</v>
      </c>
      <c r="L36" s="47" t="n">
        <f aca="false">L15*L24</f>
        <v>53519.6589747871</v>
      </c>
      <c r="M36" s="47" t="n">
        <f aca="false">M15*M24</f>
        <v>69575.5566672232</v>
      </c>
      <c r="O36" s="47" t="n">
        <f aca="false">O15*O24</f>
        <v>0</v>
      </c>
      <c r="P36" s="47" t="n">
        <f aca="false">P15*P24</f>
        <v>31012.6675782997</v>
      </c>
      <c r="Q36" s="47" t="n">
        <f aca="false">Q15*Q24</f>
        <v>53164.5729913709</v>
      </c>
      <c r="R36" s="47" t="n">
        <f aca="false">R15*R24</f>
        <v>79746.8594870564</v>
      </c>
      <c r="S36" s="47" t="n">
        <f aca="false">S15*S24</f>
        <v>106329.145982742</v>
      </c>
      <c r="U36" s="47" t="n">
        <f aca="false">U15*U24</f>
        <v>0</v>
      </c>
      <c r="V36" s="47" t="n">
        <f aca="false">V15*V24</f>
        <v>28801.9146610208</v>
      </c>
      <c r="W36" s="47" t="n">
        <f aca="false">W15*W24</f>
        <v>22362.5977065217</v>
      </c>
      <c r="X36" s="47" t="n">
        <f aca="false">X15*X24</f>
        <v>0</v>
      </c>
      <c r="Y36" s="47" t="n">
        <f aca="false">Y15*Y24</f>
        <v>0</v>
      </c>
    </row>
    <row r="37" customFormat="false" ht="15" hidden="false" customHeight="false" outlineLevel="0" collapsed="false">
      <c r="A37" s="33" t="s">
        <v>790</v>
      </c>
      <c r="C37" s="47" t="n">
        <f aca="false">IF(C13&gt;0,Assumptions!$C$18*Assumptions!$C$17,0)</f>
        <v>900</v>
      </c>
      <c r="D37" s="47" t="n">
        <f aca="false">IF(D13&gt;0,Assumptions!$C$18*Assumptions!$C$17,0)</f>
        <v>900</v>
      </c>
      <c r="E37" s="47" t="n">
        <f aca="false">IF(E13&gt;0,Assumptions!$C$18*Assumptions!$C$17,0)</f>
        <v>900</v>
      </c>
      <c r="F37" s="47" t="n">
        <f aca="false">IF(F13&gt;0,Assumptions!$C$18*Assumptions!$C$17,0)</f>
        <v>900</v>
      </c>
      <c r="G37" s="47" t="n">
        <f aca="false">IF(G13&gt;0,Assumptions!$C$18*Assumptions!$C$17,0)</f>
        <v>900</v>
      </c>
      <c r="I37" s="47" t="n">
        <f aca="false">IF(I13&gt;0,Assumptions!$C$18*Assumptions!$C$17,0)</f>
        <v>900</v>
      </c>
      <c r="J37" s="47" t="n">
        <f aca="false">IF(J13&gt;0,Assumptions!$C$18*Assumptions!$C$17,0)</f>
        <v>900</v>
      </c>
      <c r="K37" s="47" t="n">
        <f aca="false">IF(K13&gt;0,Assumptions!$C$18*Assumptions!$C$17,0)</f>
        <v>900</v>
      </c>
      <c r="L37" s="47" t="n">
        <f aca="false">IF(L13&gt;0,Assumptions!$C$18*Assumptions!$C$17,0)</f>
        <v>900</v>
      </c>
      <c r="M37" s="47" t="n">
        <f aca="false">IF(M13&gt;0,Assumptions!$C$18*Assumptions!$C$17,0)</f>
        <v>900</v>
      </c>
      <c r="O37" s="47" t="n">
        <f aca="false">IF(O13&gt;0,Assumptions!$C$18*Assumptions!$C$17,0)</f>
        <v>900</v>
      </c>
      <c r="P37" s="47" t="n">
        <f aca="false">IF(P13&gt;0,Assumptions!$C$18*Assumptions!$C$17,0)</f>
        <v>900</v>
      </c>
      <c r="Q37" s="47" t="n">
        <f aca="false">IF(Q13&gt;0,Assumptions!$C$18*Assumptions!$C$17,0)</f>
        <v>900</v>
      </c>
      <c r="R37" s="47" t="n">
        <f aca="false">IF(R13&gt;0,Assumptions!$C$18*Assumptions!$C$17,0)</f>
        <v>900</v>
      </c>
      <c r="S37" s="47" t="n">
        <f aca="false">IF(S13&gt;0,Assumptions!$C$18*Assumptions!$C$17,0)</f>
        <v>900</v>
      </c>
      <c r="U37" s="47" t="n">
        <f aca="false">IF(U13&gt;0,Assumptions!$C$18*Assumptions!$C$17,0)</f>
        <v>900</v>
      </c>
      <c r="V37" s="47" t="n">
        <f aca="false">IF(V13&gt;0,Assumptions!$C$18*Assumptions!$C$17,0)</f>
        <v>900</v>
      </c>
      <c r="W37" s="47" t="n">
        <f aca="false">IF(W13&gt;0,Assumptions!$C$18*Assumptions!$C$17,0)</f>
        <v>0</v>
      </c>
      <c r="X37" s="47" t="n">
        <f aca="false">IF(X13&gt;0,Assumptions!$C$18*Assumptions!$C$17,0)</f>
        <v>0</v>
      </c>
      <c r="Y37" s="47" t="n">
        <f aca="false">IF(Y13&gt;0,Assumptions!$C$18*Assumptions!$C$17,0)</f>
        <v>0</v>
      </c>
    </row>
    <row r="38" customFormat="false" ht="15" hidden="false" customHeight="false" outlineLevel="0" collapsed="false">
      <c r="A38" s="33" t="s">
        <v>303</v>
      </c>
      <c r="C38" s="47" t="n">
        <f aca="false">C33*Assumptions!$C$28</f>
        <v>0</v>
      </c>
      <c r="D38" s="47" t="n">
        <f aca="false">D33*Assumptions!$C$28</f>
        <v>0</v>
      </c>
      <c r="E38" s="47" t="n">
        <f aca="false">E33*Assumptions!$C$28</f>
        <v>0</v>
      </c>
      <c r="F38" s="47" t="n">
        <f aca="false">F33*Assumptions!$C$28</f>
        <v>0</v>
      </c>
      <c r="G38" s="47" t="n">
        <f aca="false">G33*Assumptions!$C$28</f>
        <v>0</v>
      </c>
      <c r="I38" s="47" t="n">
        <f aca="false">I33*Assumptions!$C$28</f>
        <v>0</v>
      </c>
      <c r="J38" s="47" t="n">
        <f aca="false">J33*Assumptions!$C$28</f>
        <v>0</v>
      </c>
      <c r="K38" s="47" t="n">
        <f aca="false">K33*Assumptions!$C$28</f>
        <v>0</v>
      </c>
      <c r="L38" s="47" t="n">
        <f aca="false">L33*Assumptions!$C$28</f>
        <v>0</v>
      </c>
      <c r="M38" s="47" t="n">
        <f aca="false">M33*Assumptions!$C$28</f>
        <v>0</v>
      </c>
      <c r="O38" s="47" t="n">
        <f aca="false">O33*Assumptions!$C$28</f>
        <v>0</v>
      </c>
      <c r="P38" s="47" t="n">
        <f aca="false">P33*Assumptions!$C$28</f>
        <v>0</v>
      </c>
      <c r="Q38" s="47" t="n">
        <f aca="false">Q33*Assumptions!$C$28</f>
        <v>0</v>
      </c>
      <c r="R38" s="47" t="n">
        <f aca="false">R33*Assumptions!$C$28</f>
        <v>0</v>
      </c>
      <c r="S38" s="47" t="n">
        <f aca="false">S33*Assumptions!$C$28</f>
        <v>0</v>
      </c>
      <c r="U38" s="47" t="n">
        <f aca="false">U33*Assumptions!$C$28</f>
        <v>0</v>
      </c>
      <c r="V38" s="47" t="n">
        <f aca="false">V33*Assumptions!$C$28</f>
        <v>0</v>
      </c>
      <c r="W38" s="47" t="n">
        <f aca="false">W33*Assumptions!$C$28</f>
        <v>0</v>
      </c>
      <c r="X38" s="47" t="n">
        <f aca="false">X33*Assumptions!$C$28</f>
        <v>0</v>
      </c>
      <c r="Y38" s="47" t="n">
        <f aca="false">Y33*Assumptions!$C$28</f>
        <v>0</v>
      </c>
    </row>
    <row r="39" customFormat="false" ht="15" hidden="false" customHeight="false" outlineLevel="0" collapsed="false">
      <c r="A39" s="33" t="s">
        <v>791</v>
      </c>
      <c r="C39" s="47" t="n">
        <f aca="false">C35-C36-C37-C38</f>
        <v>-900</v>
      </c>
      <c r="D39" s="47" t="n">
        <f aca="false">D35-D36-D37-D38</f>
        <v>-3610.36316977627</v>
      </c>
      <c r="E39" s="47" t="n">
        <f aca="false">E35-E36-E37-E38</f>
        <v>-4965.5447546644</v>
      </c>
      <c r="F39" s="47" t="n">
        <f aca="false">F35-F36-F37-F38</f>
        <v>-6320.72633955254</v>
      </c>
      <c r="G39" s="47" t="n">
        <f aca="false">G35-G36-G37-G38</f>
        <v>-7675.90792444068</v>
      </c>
      <c r="I39" s="47" t="n">
        <f aca="false">I35-I36-I37-I38</f>
        <v>-900</v>
      </c>
      <c r="J39" s="47" t="n">
        <f aca="false">J35-J36-J37-J38</f>
        <v>2595.48119665754</v>
      </c>
      <c r="K39" s="47" t="n">
        <f aca="false">K35-K36-K37-K38</f>
        <v>5217.09209415069</v>
      </c>
      <c r="L39" s="47" t="n">
        <f aca="false">L35-L36-L37-L38</f>
        <v>7838.70299164386</v>
      </c>
      <c r="M39" s="47" t="n">
        <f aca="false">M35-M36-M37-M38</f>
        <v>10460.313889137</v>
      </c>
      <c r="O39" s="47" t="n">
        <f aca="false">O35-O36-O37-O38</f>
        <v>-900</v>
      </c>
      <c r="P39" s="47" t="n">
        <f aca="false">P35-P36-P37-P38</f>
        <v>19661.9679588904</v>
      </c>
      <c r="Q39" s="47" t="n">
        <f aca="false">Q35-Q36-Q37-Q38</f>
        <v>34349.0879295264</v>
      </c>
      <c r="R39" s="47" t="n">
        <f aca="false">R35-R36-R37-R38</f>
        <v>51973.6318942896</v>
      </c>
      <c r="S39" s="47" t="n">
        <f aca="false">S35-S36-S37-S38</f>
        <v>69598.1758590528</v>
      </c>
      <c r="U39" s="47" t="n">
        <f aca="false">U35-U36-U37-U38</f>
        <v>-900</v>
      </c>
      <c r="V39" s="47" t="n">
        <f aca="false">V35-V36-V37-V38</f>
        <v>-5779.33143428705</v>
      </c>
      <c r="W39" s="47" t="n">
        <f aca="false">W35-W36-W37-W38</f>
        <v>-3788.44695659827</v>
      </c>
      <c r="X39" s="47" t="n">
        <f aca="false">X35-X36-X37-X38</f>
        <v>0</v>
      </c>
      <c r="Y39" s="47" t="n">
        <f aca="false">Y35-Y36-Y37-Y38</f>
        <v>0</v>
      </c>
    </row>
    <row r="40" customFormat="false" ht="15" hidden="false" customHeight="false" outlineLevel="0" collapsed="false">
      <c r="A40" s="33" t="s">
        <v>305</v>
      </c>
      <c r="C40" s="47" t="n">
        <f aca="false">'Operating Expenses'!$C$17*Assumptions!$C$50</f>
        <v>30233.5</v>
      </c>
      <c r="D40" s="47" t="n">
        <f aca="false">'Operating Expenses'!$D$17*Assumptions!$C$50</f>
        <v>26185.5</v>
      </c>
      <c r="E40" s="47" t="n">
        <f aca="false">'Operating Expenses'!$E$17*Assumptions!$C$50</f>
        <v>25679.5</v>
      </c>
      <c r="F40" s="47" t="n">
        <f aca="false">'Operating Expenses'!$F$17*Assumptions!$C$50</f>
        <v>27703.5</v>
      </c>
      <c r="G40" s="47" t="n">
        <f aca="false">'Operating Expenses'!$G$17*Assumptions!$C$50</f>
        <v>27956.5</v>
      </c>
      <c r="I40" s="47" t="n">
        <f aca="false">'Operating Expenses'!$C$17*Assumptions!$D$50</f>
        <v>26290</v>
      </c>
      <c r="J40" s="47" t="n">
        <f aca="false">'Operating Expenses'!$D$17*Assumptions!$D$50</f>
        <v>22770</v>
      </c>
      <c r="K40" s="47" t="n">
        <f aca="false">'Operating Expenses'!$E$17*Assumptions!$D$50</f>
        <v>22330</v>
      </c>
      <c r="L40" s="47" t="n">
        <f aca="false">'Operating Expenses'!$F$17*Assumptions!$D$50</f>
        <v>24090</v>
      </c>
      <c r="M40" s="47" t="n">
        <f aca="false">'Operating Expenses'!$G$17*Assumptions!$D$50</f>
        <v>24310</v>
      </c>
      <c r="O40" s="47" t="n">
        <f aca="false">'Operating Expenses'!$C$17*Assumptions!$E$50</f>
        <v>28919</v>
      </c>
      <c r="P40" s="47" t="n">
        <f aca="false">'Operating Expenses'!$D$17*Assumptions!$E$50</f>
        <v>25047</v>
      </c>
      <c r="Q40" s="47" t="n">
        <f aca="false">'Operating Expenses'!$E$17*Assumptions!$E$50</f>
        <v>24563</v>
      </c>
      <c r="R40" s="47" t="n">
        <f aca="false">'Operating Expenses'!$F$17*Assumptions!$E$50</f>
        <v>26499</v>
      </c>
      <c r="S40" s="47" t="n">
        <f aca="false">'Operating Expenses'!$G$17*Assumptions!$E$50</f>
        <v>26741</v>
      </c>
      <c r="U40" s="47" t="n">
        <f aca="false">'Operating Expenses'!$C$17*Assumptions!$F$50</f>
        <v>31548</v>
      </c>
      <c r="V40" s="47" t="n">
        <f aca="false">'Operating Expenses'!$D$17*Assumptions!$F$50</f>
        <v>27324</v>
      </c>
      <c r="W40" s="47" t="n">
        <f aca="false">'Operating Expenses'!$E$17*Assumptions!$F$50</f>
        <v>26796</v>
      </c>
      <c r="X40" s="47" t="n">
        <f aca="false">'Operating Expenses'!$F$17*Assumptions!$F$50</f>
        <v>28908</v>
      </c>
      <c r="Y40" s="47" t="n">
        <f aca="false">'Operating Expenses'!$G$17*Assumptions!$F$50</f>
        <v>29172</v>
      </c>
    </row>
    <row r="41" customFormat="false" ht="15" hidden="false" customHeight="false" outlineLevel="0" collapsed="false">
      <c r="A41" s="34" t="s">
        <v>306</v>
      </c>
      <c r="C41" s="47" t="n">
        <f aca="false">C39-C40</f>
        <v>-31133.5</v>
      </c>
      <c r="D41" s="47" t="n">
        <f aca="false">D39-D40</f>
        <v>-29795.8631697763</v>
      </c>
      <c r="E41" s="47" t="n">
        <f aca="false">E39-E40</f>
        <v>-30645.0447546644</v>
      </c>
      <c r="F41" s="47" t="n">
        <f aca="false">F39-F40</f>
        <v>-34024.2263395525</v>
      </c>
      <c r="G41" s="47" t="n">
        <f aca="false">G39-G40</f>
        <v>-35632.4079244407</v>
      </c>
      <c r="I41" s="47" t="n">
        <f aca="false">I39-I40</f>
        <v>-27190</v>
      </c>
      <c r="J41" s="47" t="n">
        <f aca="false">J39-J40</f>
        <v>-20174.5188033425</v>
      </c>
      <c r="K41" s="47" t="n">
        <f aca="false">K39-K40</f>
        <v>-17112.9079058493</v>
      </c>
      <c r="L41" s="47" t="n">
        <f aca="false">L39-L40</f>
        <v>-16251.2970083561</v>
      </c>
      <c r="M41" s="47" t="n">
        <f aca="false">M39-M40</f>
        <v>-13849.686110863</v>
      </c>
      <c r="O41" s="47" t="n">
        <f aca="false">O39-O40</f>
        <v>-29819</v>
      </c>
      <c r="P41" s="47" t="n">
        <f aca="false">P39-P40</f>
        <v>-5385.0320411096</v>
      </c>
      <c r="Q41" s="47" t="n">
        <f aca="false">Q39-Q40</f>
        <v>9786.08792952638</v>
      </c>
      <c r="R41" s="47" t="n">
        <f aca="false">R39-R40</f>
        <v>25474.6318942896</v>
      </c>
      <c r="S41" s="47" t="n">
        <f aca="false">S39-S40</f>
        <v>42857.1758590528</v>
      </c>
      <c r="U41" s="47" t="n">
        <f aca="false">U39-U40</f>
        <v>-32448</v>
      </c>
      <c r="V41" s="47" t="n">
        <f aca="false">V39-V40</f>
        <v>-33103.3314342871</v>
      </c>
      <c r="W41" s="47" t="n">
        <f aca="false">W39-W40</f>
        <v>-30584.4469565983</v>
      </c>
      <c r="X41" s="47" t="n">
        <f aca="false">X39-X40</f>
        <v>-28908</v>
      </c>
      <c r="Y41" s="47" t="n">
        <f aca="false">Y39-Y40</f>
        <v>-29172</v>
      </c>
    </row>
    <row r="42" customFormat="false" ht="15" hidden="false" customHeight="false" outlineLevel="0" collapsed="false">
      <c r="A42" s="33" t="s">
        <v>792</v>
      </c>
      <c r="C42" s="47" t="n">
        <f aca="false">'Operating Expenses'!$C$22</f>
        <v>13000</v>
      </c>
      <c r="D42" s="47" t="n">
        <f aca="false">'Operating Expenses'!$D$22</f>
        <v>0</v>
      </c>
      <c r="E42" s="47" t="n">
        <f aca="false">'Operating Expenses'!$E$22</f>
        <v>3000</v>
      </c>
      <c r="F42" s="47" t="n">
        <f aca="false">'Operating Expenses'!$F$22</f>
        <v>0</v>
      </c>
      <c r="G42" s="47" t="n">
        <f aca="false">'Operating Expenses'!$G$22</f>
        <v>0</v>
      </c>
      <c r="I42" s="47" t="n">
        <f aca="false">'Operating Expenses'!$C$22</f>
        <v>13000</v>
      </c>
      <c r="J42" s="47" t="n">
        <f aca="false">'Operating Expenses'!$D$22</f>
        <v>0</v>
      </c>
      <c r="K42" s="47" t="n">
        <f aca="false">'Operating Expenses'!$E$22</f>
        <v>3000</v>
      </c>
      <c r="L42" s="47" t="n">
        <f aca="false">'Operating Expenses'!$F$22</f>
        <v>0</v>
      </c>
      <c r="M42" s="47" t="n">
        <f aca="false">'Operating Expenses'!$G$22</f>
        <v>0</v>
      </c>
      <c r="O42" s="47" t="n">
        <f aca="false">'Operating Expenses'!$C$22</f>
        <v>13000</v>
      </c>
      <c r="P42" s="47" t="n">
        <f aca="false">'Operating Expenses'!$D$22</f>
        <v>0</v>
      </c>
      <c r="Q42" s="47" t="n">
        <f aca="false">'Operating Expenses'!$E$22</f>
        <v>3000</v>
      </c>
      <c r="R42" s="47" t="n">
        <f aca="false">'Operating Expenses'!$F$22</f>
        <v>0</v>
      </c>
      <c r="S42" s="47" t="n">
        <f aca="false">'Operating Expenses'!$G$22</f>
        <v>0</v>
      </c>
      <c r="U42" s="47" t="n">
        <f aca="false">'Operating Expenses'!$C$22</f>
        <v>13000</v>
      </c>
      <c r="V42" s="47" t="n">
        <f aca="false">'Operating Expenses'!$D$22</f>
        <v>0</v>
      </c>
      <c r="W42" s="47" t="n">
        <f aca="false">'Operating Expenses'!$E$22</f>
        <v>3000</v>
      </c>
      <c r="X42" s="47" t="n">
        <f aca="false">'Operating Expenses'!$F$22</f>
        <v>0</v>
      </c>
      <c r="Y42" s="47" t="n">
        <f aca="false">'Operating Expenses'!$G$22</f>
        <v>0</v>
      </c>
    </row>
    <row r="43" customFormat="false" ht="15" hidden="false" customHeight="false" outlineLevel="0" collapsed="false">
      <c r="A43" s="33" t="s">
        <v>793</v>
      </c>
      <c r="C43" s="47" t="n">
        <f aca="false">0+C42</f>
        <v>13000</v>
      </c>
      <c r="D43" s="47" t="n">
        <f aca="false">C43+D42</f>
        <v>13000</v>
      </c>
      <c r="E43" s="47" t="n">
        <f aca="false">D43+E42</f>
        <v>16000</v>
      </c>
      <c r="F43" s="47" t="n">
        <f aca="false">E43+F42</f>
        <v>16000</v>
      </c>
      <c r="G43" s="47" t="n">
        <f aca="false">F43+G42</f>
        <v>16000</v>
      </c>
      <c r="I43" s="47" t="n">
        <f aca="false">0+I42</f>
        <v>13000</v>
      </c>
      <c r="J43" s="47" t="n">
        <f aca="false">I43+J42</f>
        <v>13000</v>
      </c>
      <c r="K43" s="47" t="n">
        <f aca="false">J43+K42</f>
        <v>16000</v>
      </c>
      <c r="L43" s="47" t="n">
        <f aca="false">K43+L42</f>
        <v>16000</v>
      </c>
      <c r="M43" s="47" t="n">
        <f aca="false">L43+M42</f>
        <v>16000</v>
      </c>
      <c r="O43" s="47" t="n">
        <f aca="false">0+O42</f>
        <v>13000</v>
      </c>
      <c r="P43" s="47" t="n">
        <f aca="false">O43+P42</f>
        <v>13000</v>
      </c>
      <c r="Q43" s="47" t="n">
        <f aca="false">P43+Q42</f>
        <v>16000</v>
      </c>
      <c r="R43" s="47" t="n">
        <f aca="false">Q43+R42</f>
        <v>16000</v>
      </c>
      <c r="S43" s="47" t="n">
        <f aca="false">R43+S42</f>
        <v>16000</v>
      </c>
      <c r="U43" s="47" t="n">
        <f aca="false">0+U42</f>
        <v>13000</v>
      </c>
      <c r="V43" s="47" t="n">
        <f aca="false">U43+V42</f>
        <v>13000</v>
      </c>
      <c r="W43" s="47" t="n">
        <f aca="false">V43+W42</f>
        <v>16000</v>
      </c>
      <c r="X43" s="47" t="n">
        <f aca="false">W43+X42</f>
        <v>16000</v>
      </c>
      <c r="Y43" s="47" t="n">
        <f aca="false">X43+Y42</f>
        <v>16000</v>
      </c>
    </row>
    <row r="44" customFormat="false" ht="15" hidden="false" customHeight="false" outlineLevel="0" collapsed="false">
      <c r="A44" s="33" t="s">
        <v>307</v>
      </c>
      <c r="C44" s="47" t="n">
        <f aca="false">C43/Assumptions!$C$33</f>
        <v>2600</v>
      </c>
      <c r="D44" s="47" t="n">
        <f aca="false">D43/Assumptions!$C$33</f>
        <v>2600</v>
      </c>
      <c r="E44" s="47" t="n">
        <f aca="false">E43/Assumptions!$C$33</f>
        <v>3200</v>
      </c>
      <c r="F44" s="47" t="n">
        <f aca="false">F43/Assumptions!$C$33</f>
        <v>3200</v>
      </c>
      <c r="G44" s="47" t="n">
        <f aca="false">G43/Assumptions!$C$33</f>
        <v>3200</v>
      </c>
      <c r="I44" s="47" t="n">
        <f aca="false">I43/Assumptions!$C$33</f>
        <v>2600</v>
      </c>
      <c r="J44" s="47" t="n">
        <f aca="false">J43/Assumptions!$C$33</f>
        <v>2600</v>
      </c>
      <c r="K44" s="47" t="n">
        <f aca="false">K43/Assumptions!$C$33</f>
        <v>3200</v>
      </c>
      <c r="L44" s="47" t="n">
        <f aca="false">L43/Assumptions!$C$33</f>
        <v>3200</v>
      </c>
      <c r="M44" s="47" t="n">
        <f aca="false">M43/Assumptions!$C$33</f>
        <v>3200</v>
      </c>
      <c r="O44" s="47" t="n">
        <f aca="false">O43/Assumptions!$C$33</f>
        <v>2600</v>
      </c>
      <c r="P44" s="47" t="n">
        <f aca="false">P43/Assumptions!$C$33</f>
        <v>2600</v>
      </c>
      <c r="Q44" s="47" t="n">
        <f aca="false">Q43/Assumptions!$C$33</f>
        <v>3200</v>
      </c>
      <c r="R44" s="47" t="n">
        <f aca="false">R43/Assumptions!$C$33</f>
        <v>3200</v>
      </c>
      <c r="S44" s="47" t="n">
        <f aca="false">S43/Assumptions!$C$33</f>
        <v>3200</v>
      </c>
      <c r="U44" s="47" t="n">
        <f aca="false">U43/Assumptions!$C$33</f>
        <v>2600</v>
      </c>
      <c r="V44" s="47" t="n">
        <f aca="false">V43/Assumptions!$C$33</f>
        <v>2600</v>
      </c>
      <c r="W44" s="47" t="n">
        <f aca="false">W43/Assumptions!$C$33</f>
        <v>3200</v>
      </c>
      <c r="X44" s="47" t="n">
        <f aca="false">X43/Assumptions!$C$33</f>
        <v>3200</v>
      </c>
      <c r="Y44" s="47" t="n">
        <f aca="false">Y43/Assumptions!$C$33</f>
        <v>3200</v>
      </c>
    </row>
    <row r="45" customFormat="false" ht="15" hidden="false" customHeight="false" outlineLevel="0" collapsed="false">
      <c r="A45" s="33" t="s">
        <v>794</v>
      </c>
      <c r="C45" s="47" t="n">
        <f aca="false">0+C44</f>
        <v>2600</v>
      </c>
      <c r="D45" s="47" t="n">
        <f aca="false">C45+D44</f>
        <v>5200</v>
      </c>
      <c r="E45" s="47" t="n">
        <f aca="false">D45+E44</f>
        <v>8400</v>
      </c>
      <c r="F45" s="47" t="n">
        <f aca="false">E45+F44</f>
        <v>11600</v>
      </c>
      <c r="G45" s="47" t="n">
        <f aca="false">F45+G44</f>
        <v>14800</v>
      </c>
      <c r="I45" s="47" t="n">
        <f aca="false">0+I44</f>
        <v>2600</v>
      </c>
      <c r="J45" s="47" t="n">
        <f aca="false">I45+J44</f>
        <v>5200</v>
      </c>
      <c r="K45" s="47" t="n">
        <f aca="false">J45+K44</f>
        <v>8400</v>
      </c>
      <c r="L45" s="47" t="n">
        <f aca="false">K45+L44</f>
        <v>11600</v>
      </c>
      <c r="M45" s="47" t="n">
        <f aca="false">L45+M44</f>
        <v>14800</v>
      </c>
      <c r="O45" s="47" t="n">
        <f aca="false">0+O44</f>
        <v>2600</v>
      </c>
      <c r="P45" s="47" t="n">
        <f aca="false">O45+P44</f>
        <v>5200</v>
      </c>
      <c r="Q45" s="47" t="n">
        <f aca="false">P45+Q44</f>
        <v>8400</v>
      </c>
      <c r="R45" s="47" t="n">
        <f aca="false">Q45+R44</f>
        <v>11600</v>
      </c>
      <c r="S45" s="47" t="n">
        <f aca="false">R45+S44</f>
        <v>14800</v>
      </c>
      <c r="U45" s="47" t="n">
        <f aca="false">0+U44</f>
        <v>2600</v>
      </c>
      <c r="V45" s="47" t="n">
        <f aca="false">U45+V44</f>
        <v>5200</v>
      </c>
      <c r="W45" s="47" t="n">
        <f aca="false">V45+W44</f>
        <v>8400</v>
      </c>
      <c r="X45" s="47" t="n">
        <f aca="false">W45+X44</f>
        <v>11600</v>
      </c>
      <c r="Y45" s="47" t="n">
        <f aca="false">X45+Y44</f>
        <v>14800</v>
      </c>
    </row>
    <row r="46" customFormat="false" ht="15" hidden="false" customHeight="false" outlineLevel="0" collapsed="false">
      <c r="A46" s="33" t="s">
        <v>795</v>
      </c>
      <c r="C46" s="47" t="n">
        <f aca="false">C43-C45</f>
        <v>10400</v>
      </c>
      <c r="D46" s="47" t="n">
        <f aca="false">D43-D45</f>
        <v>7800</v>
      </c>
      <c r="E46" s="47" t="n">
        <f aca="false">E43-E45</f>
        <v>7600</v>
      </c>
      <c r="F46" s="47" t="n">
        <f aca="false">F43-F45</f>
        <v>4400</v>
      </c>
      <c r="G46" s="47" t="n">
        <f aca="false">G43-G45</f>
        <v>1200</v>
      </c>
      <c r="I46" s="47" t="n">
        <f aca="false">I43-I45</f>
        <v>10400</v>
      </c>
      <c r="J46" s="47" t="n">
        <f aca="false">J43-J45</f>
        <v>7800</v>
      </c>
      <c r="K46" s="47" t="n">
        <f aca="false">K43-K45</f>
        <v>7600</v>
      </c>
      <c r="L46" s="47" t="n">
        <f aca="false">L43-L45</f>
        <v>4400</v>
      </c>
      <c r="M46" s="47" t="n">
        <f aca="false">M43-M45</f>
        <v>1200</v>
      </c>
      <c r="O46" s="47" t="n">
        <f aca="false">O43-O45</f>
        <v>10400</v>
      </c>
      <c r="P46" s="47" t="n">
        <f aca="false">P43-P45</f>
        <v>7800</v>
      </c>
      <c r="Q46" s="47" t="n">
        <f aca="false">Q43-Q45</f>
        <v>7600</v>
      </c>
      <c r="R46" s="47" t="n">
        <f aca="false">R43-R45</f>
        <v>4400</v>
      </c>
      <c r="S46" s="47" t="n">
        <f aca="false">S43-S45</f>
        <v>1200</v>
      </c>
      <c r="U46" s="47" t="n">
        <f aca="false">U43-U45</f>
        <v>10400</v>
      </c>
      <c r="V46" s="47" t="n">
        <f aca="false">V43-V45</f>
        <v>7800</v>
      </c>
      <c r="W46" s="47" t="n">
        <f aca="false">W43-W45</f>
        <v>7600</v>
      </c>
      <c r="X46" s="47" t="n">
        <f aca="false">X43-X45</f>
        <v>4400</v>
      </c>
      <c r="Y46" s="47" t="n">
        <f aca="false">Y43-Y45</f>
        <v>1200</v>
      </c>
    </row>
    <row r="47" customFormat="false" ht="15" hidden="false" customHeight="false" outlineLevel="0" collapsed="false">
      <c r="A47" s="33" t="s">
        <v>308</v>
      </c>
      <c r="C47" s="47" t="n">
        <f aca="false">C41-C44</f>
        <v>-33733.5</v>
      </c>
      <c r="D47" s="47" t="n">
        <f aca="false">D41-D44</f>
        <v>-32395.8631697763</v>
      </c>
      <c r="E47" s="47" t="n">
        <f aca="false">E41-E44</f>
        <v>-33845.0447546644</v>
      </c>
      <c r="F47" s="47" t="n">
        <f aca="false">F41-F44</f>
        <v>-37224.2263395525</v>
      </c>
      <c r="G47" s="47" t="n">
        <f aca="false">G41-G44</f>
        <v>-38832.4079244407</v>
      </c>
      <c r="I47" s="47" t="n">
        <f aca="false">I41-I44</f>
        <v>-29790</v>
      </c>
      <c r="J47" s="47" t="n">
        <f aca="false">J41-J44</f>
        <v>-22774.5188033425</v>
      </c>
      <c r="K47" s="47" t="n">
        <f aca="false">K41-K44</f>
        <v>-20312.9079058493</v>
      </c>
      <c r="L47" s="47" t="n">
        <f aca="false">L41-L44</f>
        <v>-19451.2970083561</v>
      </c>
      <c r="M47" s="47" t="n">
        <f aca="false">M41-M44</f>
        <v>-17049.686110863</v>
      </c>
      <c r="O47" s="47" t="n">
        <f aca="false">O41-O44</f>
        <v>-32419</v>
      </c>
      <c r="P47" s="47" t="n">
        <f aca="false">P41-P44</f>
        <v>-7985.0320411096</v>
      </c>
      <c r="Q47" s="47" t="n">
        <f aca="false">Q41-Q44</f>
        <v>6586.08792952638</v>
      </c>
      <c r="R47" s="47" t="n">
        <f aca="false">R41-R44</f>
        <v>22274.6318942896</v>
      </c>
      <c r="S47" s="47" t="n">
        <f aca="false">S41-S44</f>
        <v>39657.1758590528</v>
      </c>
      <c r="U47" s="47" t="n">
        <f aca="false">U41-U44</f>
        <v>-35048</v>
      </c>
      <c r="V47" s="47" t="n">
        <f aca="false">V41-V44</f>
        <v>-35703.3314342871</v>
      </c>
      <c r="W47" s="47" t="n">
        <f aca="false">W41-W44</f>
        <v>-33784.4469565983</v>
      </c>
      <c r="X47" s="47" t="n">
        <f aca="false">X41-X44</f>
        <v>-32108</v>
      </c>
      <c r="Y47" s="47" t="n">
        <f aca="false">Y41-Y44</f>
        <v>-32372</v>
      </c>
    </row>
    <row r="48" customFormat="false" ht="15" hidden="false" customHeight="false" outlineLevel="0" collapsed="false">
      <c r="A48" s="33" t="s">
        <v>796</v>
      </c>
      <c r="C48" s="47" t="n">
        <f aca="false">0*Assumptions!$C$31</f>
        <v>0</v>
      </c>
      <c r="D48" s="47" t="n">
        <f aca="false">C75*Assumptions!$C$31</f>
        <v>504.821407866024</v>
      </c>
      <c r="E48" s="47" t="n">
        <f aca="false">D75*Assumptions!$C$31</f>
        <v>3123.91818749908</v>
      </c>
      <c r="F48" s="47" t="n">
        <f aca="false">E75*Assumptions!$C$31</f>
        <v>6113.92107753618</v>
      </c>
      <c r="G48" s="47" t="n">
        <f aca="false">F75*Assumptions!$C$31</f>
        <v>9289.32715665187</v>
      </c>
      <c r="I48" s="47" t="n">
        <f aca="false">0*Assumptions!$C$31</f>
        <v>0</v>
      </c>
      <c r="J48" s="47" t="n">
        <f aca="false">I75*Assumptions!$C$31</f>
        <v>831.429764774361</v>
      </c>
      <c r="K48" s="47" t="n">
        <f aca="false">J75*Assumptions!$C$31</f>
        <v>3531.90100898576</v>
      </c>
      <c r="L48" s="47" t="n">
        <f aca="false">K75*Assumptions!$C$31</f>
        <v>6329.71013804062</v>
      </c>
      <c r="M48" s="47" t="n">
        <f aca="false">L75*Assumptions!$C$31</f>
        <v>8962.54914166691</v>
      </c>
      <c r="O48" s="47" t="n">
        <f aca="false">0*Assumptions!$C$31</f>
        <v>0</v>
      </c>
      <c r="P48" s="47" t="n">
        <f aca="false">O75*Assumptions!$C$31</f>
        <v>1687.52801984104</v>
      </c>
      <c r="Q48" s="47" t="n">
        <f aca="false">P75*Assumptions!$C$31</f>
        <v>4139.6675660011</v>
      </c>
      <c r="R48" s="47" t="n">
        <f aca="false">Q75*Assumptions!$C$31</f>
        <v>5992.25996041425</v>
      </c>
      <c r="S48" s="47" t="n">
        <f aca="false">R75*Assumptions!$C$31</f>
        <v>6624.94613139035</v>
      </c>
      <c r="U48" s="47" t="n">
        <f aca="false">0*Assumptions!$C$31</f>
        <v>0</v>
      </c>
      <c r="V48" s="47" t="n">
        <f aca="false">U75*Assumptions!$C$31</f>
        <v>1844.64909909726</v>
      </c>
      <c r="W48" s="47" t="n">
        <f aca="false">V75*Assumptions!$C$31</f>
        <v>4748.33212419059</v>
      </c>
      <c r="X48" s="47" t="n">
        <f aca="false">W75*Assumptions!$C$31</f>
        <v>5177.45323770762</v>
      </c>
      <c r="Y48" s="47" t="n">
        <f aca="false">X75*Assumptions!$C$31</f>
        <v>7380.67489963166</v>
      </c>
    </row>
    <row r="49" customFormat="false" ht="15" hidden="false" customHeight="false" outlineLevel="0" collapsed="false">
      <c r="A49" s="33" t="s">
        <v>310</v>
      </c>
      <c r="C49" s="47" t="n">
        <f aca="false">C47-C48</f>
        <v>-33733.5</v>
      </c>
      <c r="D49" s="47" t="n">
        <f aca="false">D47-D48</f>
        <v>-32900.6845776423</v>
      </c>
      <c r="E49" s="47" t="n">
        <f aca="false">E47-E48</f>
        <v>-36968.9629421635</v>
      </c>
      <c r="F49" s="47" t="n">
        <f aca="false">F47-F48</f>
        <v>-43338.1474170887</v>
      </c>
      <c r="G49" s="47" t="n">
        <f aca="false">G47-G48</f>
        <v>-48121.7350810926</v>
      </c>
      <c r="I49" s="47" t="n">
        <f aca="false">I47-I48</f>
        <v>-29790</v>
      </c>
      <c r="J49" s="47" t="n">
        <f aca="false">J47-J48</f>
        <v>-23605.9485681168</v>
      </c>
      <c r="K49" s="47" t="n">
        <f aca="false">K47-K48</f>
        <v>-23844.8089148351</v>
      </c>
      <c r="L49" s="47" t="n">
        <f aca="false">L47-L48</f>
        <v>-25781.0071463968</v>
      </c>
      <c r="M49" s="47" t="n">
        <f aca="false">M47-M48</f>
        <v>-26012.2352525299</v>
      </c>
      <c r="O49" s="47" t="n">
        <f aca="false">O47-O48</f>
        <v>-32419</v>
      </c>
      <c r="P49" s="47" t="n">
        <f aca="false">P47-P48</f>
        <v>-9672.56006095064</v>
      </c>
      <c r="Q49" s="47" t="n">
        <f aca="false">Q47-Q48</f>
        <v>2446.42036352527</v>
      </c>
      <c r="R49" s="47" t="n">
        <f aca="false">R47-R48</f>
        <v>16282.3719338753</v>
      </c>
      <c r="S49" s="47" t="n">
        <f aca="false">S47-S48</f>
        <v>33032.2297276624</v>
      </c>
      <c r="U49" s="47" t="n">
        <f aca="false">U47-U48</f>
        <v>-35048</v>
      </c>
      <c r="V49" s="47" t="n">
        <f aca="false">V47-V48</f>
        <v>-37547.9805333843</v>
      </c>
      <c r="W49" s="47" t="n">
        <f aca="false">W47-W48</f>
        <v>-38532.7790807889</v>
      </c>
      <c r="X49" s="47" t="n">
        <f aca="false">X47-X48</f>
        <v>-37285.4532377076</v>
      </c>
      <c r="Y49" s="47" t="n">
        <f aca="false">Y47-Y48</f>
        <v>-39752.6748996317</v>
      </c>
    </row>
    <row r="50" customFormat="false" ht="15" hidden="false" customHeight="false" outlineLevel="0" collapsed="false">
      <c r="A50" s="33" t="s">
        <v>797</v>
      </c>
      <c r="C50" s="47" t="n">
        <f aca="false">0</f>
        <v>0</v>
      </c>
      <c r="D50" s="47" t="n">
        <f aca="false">C52</f>
        <v>33733.5</v>
      </c>
      <c r="E50" s="47" t="n">
        <f aca="false">D52</f>
        <v>66634.1845776423</v>
      </c>
      <c r="F50" s="47" t="n">
        <f aca="false">E52</f>
        <v>103603.147519806</v>
      </c>
      <c r="G50" s="47" t="n">
        <f aca="false">F52</f>
        <v>146941.294936895</v>
      </c>
      <c r="I50" s="47" t="n">
        <f aca="false">0</f>
        <v>0</v>
      </c>
      <c r="J50" s="47" t="n">
        <f aca="false">I52</f>
        <v>29790</v>
      </c>
      <c r="K50" s="47" t="n">
        <f aca="false">J52</f>
        <v>53395.9485681168</v>
      </c>
      <c r="L50" s="47" t="n">
        <f aca="false">K52</f>
        <v>77240.7574829519</v>
      </c>
      <c r="M50" s="47" t="n">
        <f aca="false">L52</f>
        <v>103021.764629349</v>
      </c>
      <c r="O50" s="47" t="n">
        <f aca="false">0</f>
        <v>0</v>
      </c>
      <c r="P50" s="47" t="n">
        <f aca="false">O52</f>
        <v>32419</v>
      </c>
      <c r="Q50" s="47" t="n">
        <f aca="false">P52</f>
        <v>42091.5600609506</v>
      </c>
      <c r="R50" s="47" t="n">
        <f aca="false">Q52</f>
        <v>39645.1396974254</v>
      </c>
      <c r="S50" s="47" t="n">
        <f aca="false">R52</f>
        <v>23362.76776355</v>
      </c>
      <c r="U50" s="47" t="n">
        <f aca="false">0</f>
        <v>0</v>
      </c>
      <c r="V50" s="47" t="n">
        <f aca="false">U52</f>
        <v>35048</v>
      </c>
      <c r="W50" s="47" t="n">
        <f aca="false">V52</f>
        <v>72595.9805333843</v>
      </c>
      <c r="X50" s="47" t="n">
        <f aca="false">W52</f>
        <v>111128.759614173</v>
      </c>
      <c r="Y50" s="47" t="n">
        <f aca="false">X52</f>
        <v>148414.212851881</v>
      </c>
    </row>
    <row r="51" customFormat="false" ht="15" hidden="false" customHeight="false" outlineLevel="0" collapsed="false">
      <c r="A51" s="33" t="s">
        <v>798</v>
      </c>
      <c r="C51" s="47" t="n">
        <f aca="false">MAX(0,C49-C50)</f>
        <v>0</v>
      </c>
      <c r="D51" s="47" t="n">
        <f aca="false">MAX(0,D49-D50)</f>
        <v>0</v>
      </c>
      <c r="E51" s="47" t="n">
        <f aca="false">MAX(0,E49-E50)</f>
        <v>0</v>
      </c>
      <c r="F51" s="47" t="n">
        <f aca="false">MAX(0,F49-F50)</f>
        <v>0</v>
      </c>
      <c r="G51" s="47" t="n">
        <f aca="false">MAX(0,G49-G50)</f>
        <v>0</v>
      </c>
      <c r="I51" s="47" t="n">
        <f aca="false">MAX(0,I49-I50)</f>
        <v>0</v>
      </c>
      <c r="J51" s="47" t="n">
        <f aca="false">MAX(0,J49-J50)</f>
        <v>0</v>
      </c>
      <c r="K51" s="47" t="n">
        <f aca="false">MAX(0,K49-K50)</f>
        <v>0</v>
      </c>
      <c r="L51" s="47" t="n">
        <f aca="false">MAX(0,L49-L50)</f>
        <v>0</v>
      </c>
      <c r="M51" s="47" t="n">
        <f aca="false">MAX(0,M49-M50)</f>
        <v>0</v>
      </c>
      <c r="O51" s="47" t="n">
        <f aca="false">MAX(0,O49-O50)</f>
        <v>0</v>
      </c>
      <c r="P51" s="47" t="n">
        <f aca="false">MAX(0,P49-P50)</f>
        <v>0</v>
      </c>
      <c r="Q51" s="47" t="n">
        <f aca="false">MAX(0,Q49-Q50)</f>
        <v>0</v>
      </c>
      <c r="R51" s="47" t="n">
        <f aca="false">MAX(0,R49-R50)</f>
        <v>0</v>
      </c>
      <c r="S51" s="47" t="n">
        <f aca="false">MAX(0,S49-S50)</f>
        <v>9669.46196411239</v>
      </c>
      <c r="U51" s="47" t="n">
        <f aca="false">MAX(0,U49-U50)</f>
        <v>0</v>
      </c>
      <c r="V51" s="47" t="n">
        <f aca="false">MAX(0,V49-V50)</f>
        <v>0</v>
      </c>
      <c r="W51" s="47" t="n">
        <f aca="false">MAX(0,W49-W50)</f>
        <v>0</v>
      </c>
      <c r="X51" s="47" t="n">
        <f aca="false">MAX(0,X49-X50)</f>
        <v>0</v>
      </c>
      <c r="Y51" s="47" t="n">
        <f aca="false">MAX(0,Y49-Y50)</f>
        <v>0</v>
      </c>
    </row>
    <row r="52" customFormat="false" ht="15" hidden="false" customHeight="false" outlineLevel="0" collapsed="false">
      <c r="A52" s="33" t="s">
        <v>799</v>
      </c>
      <c r="C52" s="47" t="n">
        <f aca="false">MAX(0,C50-MAX(C49,0))+MAX(-C49,0)</f>
        <v>33733.5</v>
      </c>
      <c r="D52" s="47" t="n">
        <f aca="false">MAX(0,D50-MAX(D49,0))+MAX(-D49,0)</f>
        <v>66634.1845776423</v>
      </c>
      <c r="E52" s="47" t="n">
        <f aca="false">MAX(0,E50-MAX(E49,0))+MAX(-E49,0)</f>
        <v>103603.147519806</v>
      </c>
      <c r="F52" s="47" t="n">
        <f aca="false">MAX(0,F50-MAX(F49,0))+MAX(-F49,0)</f>
        <v>146941.294936895</v>
      </c>
      <c r="G52" s="47" t="n">
        <f aca="false">MAX(0,G50-MAX(G49,0))+MAX(-G49,0)</f>
        <v>195063.030017987</v>
      </c>
      <c r="I52" s="47" t="n">
        <f aca="false">MAX(0,I50-MAX(I49,0))+MAX(-I49,0)</f>
        <v>29790</v>
      </c>
      <c r="J52" s="47" t="n">
        <f aca="false">MAX(0,J50-MAX(J49,0))+MAX(-J49,0)</f>
        <v>53395.9485681168</v>
      </c>
      <c r="K52" s="47" t="n">
        <f aca="false">MAX(0,K50-MAX(K49,0))+MAX(-K49,0)</f>
        <v>77240.7574829519</v>
      </c>
      <c r="L52" s="47" t="n">
        <f aca="false">MAX(0,L50-MAX(L49,0))+MAX(-L49,0)</f>
        <v>103021.764629349</v>
      </c>
      <c r="M52" s="47" t="n">
        <f aca="false">MAX(0,M50-MAX(M49,0))+MAX(-M49,0)</f>
        <v>129033.999881879</v>
      </c>
      <c r="O52" s="47" t="n">
        <f aca="false">MAX(0,O50-MAX(O49,0))+MAX(-O49,0)</f>
        <v>32419</v>
      </c>
      <c r="P52" s="47" t="n">
        <f aca="false">MAX(0,P50-MAX(P49,0))+MAX(-P49,0)</f>
        <v>42091.5600609506</v>
      </c>
      <c r="Q52" s="47" t="n">
        <f aca="false">MAX(0,Q50-MAX(Q49,0))+MAX(-Q49,0)</f>
        <v>39645.1396974254</v>
      </c>
      <c r="R52" s="47" t="n">
        <f aca="false">MAX(0,R50-MAX(R49,0))+MAX(-R49,0)</f>
        <v>23362.76776355</v>
      </c>
      <c r="S52" s="47" t="n">
        <f aca="false">MAX(0,S50-MAX(S49,0))+MAX(-S49,0)</f>
        <v>0</v>
      </c>
      <c r="U52" s="47" t="n">
        <f aca="false">MAX(0,U50-MAX(U49,0))+MAX(-U49,0)</f>
        <v>35048</v>
      </c>
      <c r="V52" s="47" t="n">
        <f aca="false">MAX(0,V50-MAX(V49,0))+MAX(-V49,0)</f>
        <v>72595.9805333843</v>
      </c>
      <c r="W52" s="47" t="n">
        <f aca="false">MAX(0,W50-MAX(W49,0))+MAX(-W49,0)</f>
        <v>111128.759614173</v>
      </c>
      <c r="X52" s="47" t="n">
        <f aca="false">MAX(0,X50-MAX(X49,0))+MAX(-X49,0)</f>
        <v>148414.212851881</v>
      </c>
      <c r="Y52" s="47" t="n">
        <f aca="false">MAX(0,Y50-MAX(Y49,0))+MAX(-Y49,0)</f>
        <v>188166.887751512</v>
      </c>
    </row>
    <row r="53" customFormat="false" ht="15" hidden="false" customHeight="false" outlineLevel="0" collapsed="false">
      <c r="A53" s="33" t="s">
        <v>311</v>
      </c>
      <c r="C53" s="47" t="n">
        <f aca="false">C51*Assumptions!$C$30</f>
        <v>0</v>
      </c>
      <c r="D53" s="47" t="n">
        <f aca="false">D51*Assumptions!$C$30</f>
        <v>0</v>
      </c>
      <c r="E53" s="47" t="n">
        <f aca="false">E51*Assumptions!$C$30</f>
        <v>0</v>
      </c>
      <c r="F53" s="47" t="n">
        <f aca="false">F51*Assumptions!$C$30</f>
        <v>0</v>
      </c>
      <c r="G53" s="47" t="n">
        <f aca="false">G51*Assumptions!$C$30</f>
        <v>0</v>
      </c>
      <c r="I53" s="47" t="n">
        <f aca="false">I51*Assumptions!$C$30</f>
        <v>0</v>
      </c>
      <c r="J53" s="47" t="n">
        <f aca="false">J51*Assumptions!$C$30</f>
        <v>0</v>
      </c>
      <c r="K53" s="47" t="n">
        <f aca="false">K51*Assumptions!$C$30</f>
        <v>0</v>
      </c>
      <c r="L53" s="47" t="n">
        <f aca="false">L51*Assumptions!$C$30</f>
        <v>0</v>
      </c>
      <c r="M53" s="47" t="n">
        <f aca="false">M51*Assumptions!$C$30</f>
        <v>0</v>
      </c>
      <c r="O53" s="47" t="n">
        <f aca="false">O51*Assumptions!$C$30</f>
        <v>0</v>
      </c>
      <c r="P53" s="47" t="n">
        <f aca="false">P51*Assumptions!$C$30</f>
        <v>0</v>
      </c>
      <c r="Q53" s="47" t="n">
        <f aca="false">Q51*Assumptions!$C$30</f>
        <v>0</v>
      </c>
      <c r="R53" s="47" t="n">
        <f aca="false">R51*Assumptions!$C$30</f>
        <v>0</v>
      </c>
      <c r="S53" s="47" t="n">
        <f aca="false">S51*Assumptions!$C$30</f>
        <v>2417.3654910281</v>
      </c>
      <c r="U53" s="47" t="n">
        <f aca="false">U51*Assumptions!$C$30</f>
        <v>0</v>
      </c>
      <c r="V53" s="47" t="n">
        <f aca="false">V51*Assumptions!$C$30</f>
        <v>0</v>
      </c>
      <c r="W53" s="47" t="n">
        <f aca="false">W51*Assumptions!$C$30</f>
        <v>0</v>
      </c>
      <c r="X53" s="47" t="n">
        <f aca="false">X51*Assumptions!$C$30</f>
        <v>0</v>
      </c>
      <c r="Y53" s="47" t="n">
        <f aca="false">Y51*Assumptions!$C$30</f>
        <v>0</v>
      </c>
    </row>
    <row r="54" customFormat="false" ht="15" hidden="false" customHeight="false" outlineLevel="0" collapsed="false">
      <c r="A54" s="34" t="s">
        <v>317</v>
      </c>
      <c r="C54" s="47" t="n">
        <f aca="false">C49-C53</f>
        <v>-33733.5</v>
      </c>
      <c r="D54" s="47" t="n">
        <f aca="false">D49-D53</f>
        <v>-32900.6845776423</v>
      </c>
      <c r="E54" s="47" t="n">
        <f aca="false">E49-E53</f>
        <v>-36968.9629421635</v>
      </c>
      <c r="F54" s="47" t="n">
        <f aca="false">F49-F53</f>
        <v>-43338.1474170887</v>
      </c>
      <c r="G54" s="47" t="n">
        <f aca="false">G49-G53</f>
        <v>-48121.7350810926</v>
      </c>
      <c r="I54" s="47" t="n">
        <f aca="false">I49-I53</f>
        <v>-29790</v>
      </c>
      <c r="J54" s="47" t="n">
        <f aca="false">J49-J53</f>
        <v>-23605.9485681168</v>
      </c>
      <c r="K54" s="47" t="n">
        <f aca="false">K49-K53</f>
        <v>-23844.8089148351</v>
      </c>
      <c r="L54" s="47" t="n">
        <f aca="false">L49-L53</f>
        <v>-25781.0071463968</v>
      </c>
      <c r="M54" s="47" t="n">
        <f aca="false">M49-M53</f>
        <v>-26012.2352525299</v>
      </c>
      <c r="O54" s="47" t="n">
        <f aca="false">O49-O53</f>
        <v>-32419</v>
      </c>
      <c r="P54" s="47" t="n">
        <f aca="false">P49-P53</f>
        <v>-9672.56006095064</v>
      </c>
      <c r="Q54" s="47" t="n">
        <f aca="false">Q49-Q53</f>
        <v>2446.42036352527</v>
      </c>
      <c r="R54" s="47" t="n">
        <f aca="false">R49-R53</f>
        <v>16282.3719338753</v>
      </c>
      <c r="S54" s="47" t="n">
        <f aca="false">S49-S53</f>
        <v>30614.8642366343</v>
      </c>
      <c r="U54" s="47" t="n">
        <f aca="false">U49-U53</f>
        <v>-35048</v>
      </c>
      <c r="V54" s="47" t="n">
        <f aca="false">V49-V53</f>
        <v>-37547.9805333843</v>
      </c>
      <c r="W54" s="47" t="n">
        <f aca="false">W49-W53</f>
        <v>-38532.7790807889</v>
      </c>
      <c r="X54" s="47" t="n">
        <f aca="false">X49-X53</f>
        <v>-37285.4532377076</v>
      </c>
      <c r="Y54" s="47" t="n">
        <f aca="false">Y49-Y53</f>
        <v>-39752.6748996317</v>
      </c>
    </row>
    <row r="56" customFormat="false" ht="15" hidden="false" customHeight="false" outlineLevel="0" collapsed="false">
      <c r="A56" s="23" t="s">
        <v>800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customFormat="false" ht="15" hidden="false" customHeight="false" outlineLevel="0" collapsed="false">
      <c r="A57" s="33" t="s">
        <v>801</v>
      </c>
      <c r="C57" s="47" t="n">
        <f aca="false">C16*C24</f>
        <v>5851.27377173913</v>
      </c>
      <c r="D57" s="47" t="n">
        <f aca="false">D16*D24</f>
        <v>8776.91065760869</v>
      </c>
      <c r="E57" s="47" t="n">
        <f aca="false">E16*E24</f>
        <v>11702.5475434783</v>
      </c>
      <c r="F57" s="47" t="n">
        <f aca="false">F16*F24</f>
        <v>14628.1844293478</v>
      </c>
      <c r="G57" s="47" t="n">
        <f aca="false">G16*G24</f>
        <v>14628.1844293478</v>
      </c>
      <c r="I57" s="47" t="n">
        <f aca="false">I16*I24</f>
        <v>10089.2176086957</v>
      </c>
      <c r="J57" s="47" t="n">
        <f aca="false">J16*J24</f>
        <v>17656.1308152174</v>
      </c>
      <c r="K57" s="47" t="n">
        <f aca="false">K16*K24</f>
        <v>25223.0440217391</v>
      </c>
      <c r="L57" s="47" t="n">
        <f aca="false">L16*L24</f>
        <v>32789.9572282609</v>
      </c>
      <c r="M57" s="47" t="n">
        <f aca="false">M16*M24</f>
        <v>32789.9572282609</v>
      </c>
      <c r="O57" s="47" t="n">
        <f aca="false">O16*O24</f>
        <v>14832.8034293478</v>
      </c>
      <c r="P57" s="47" t="n">
        <f aca="false">P16*P24</f>
        <v>25427.6630217391</v>
      </c>
      <c r="Q57" s="47" t="n">
        <f aca="false">Q16*Q24</f>
        <v>38141.4945326087</v>
      </c>
      <c r="R57" s="47" t="n">
        <f aca="false">R16*R24</f>
        <v>50855.3260434783</v>
      </c>
      <c r="S57" s="47" t="n">
        <f aca="false">S16*S24</f>
        <v>50855.3260434783</v>
      </c>
      <c r="U57" s="47" t="n">
        <f aca="false">U16*U24</f>
        <v>12778.6272608696</v>
      </c>
      <c r="V57" s="47" t="n">
        <f aca="false">V16*V24</f>
        <v>22362.5977065217</v>
      </c>
      <c r="W57" s="47" t="n">
        <f aca="false">W16*W24</f>
        <v>0</v>
      </c>
      <c r="X57" s="47" t="n">
        <f aca="false">X16*X24</f>
        <v>0</v>
      </c>
      <c r="Y57" s="47" t="n">
        <f aca="false">Y16*Y24</f>
        <v>0</v>
      </c>
    </row>
    <row r="58" customFormat="false" ht="15" hidden="false" customHeight="false" outlineLevel="0" collapsed="false">
      <c r="A58" s="33" t="s">
        <v>802</v>
      </c>
      <c r="C58" s="47" t="n">
        <f aca="false">IF(Assumptions!$C$26=1,C13,C15)*C25</f>
        <v>1580</v>
      </c>
      <c r="D58" s="47" t="n">
        <f aca="false">IF(Assumptions!$C$26=1,D13,D15)*D25</f>
        <v>4242.71578947368</v>
      </c>
      <c r="E58" s="47" t="n">
        <f aca="false">IF(Assumptions!$C$26=1,E13,E15)*E25</f>
        <v>5969.07368421053</v>
      </c>
      <c r="F58" s="47" t="n">
        <f aca="false">IF(Assumptions!$C$26=1,F13,F15)*F25</f>
        <v>7695.43157894737</v>
      </c>
      <c r="G58" s="47" t="n">
        <f aca="false">IF(Assumptions!$C$26=1,G13,G15)*G25</f>
        <v>8631.78947368421</v>
      </c>
      <c r="I58" s="47" t="n">
        <f aca="false">IF(Assumptions!$C$26=1,I13,I15)*I25</f>
        <v>3792</v>
      </c>
      <c r="J58" s="47" t="n">
        <f aca="false">IF(Assumptions!$C$26=1,J13,J15)*J25</f>
        <v>10890.0767010309</v>
      </c>
      <c r="K58" s="47" t="n">
        <f aca="false">IF(Assumptions!$C$26=1,K13,K15)*K25</f>
        <v>16924.6342268041</v>
      </c>
      <c r="L58" s="47" t="n">
        <f aca="false">IF(Assumptions!$C$26=1,L13,L15)*L25</f>
        <v>22959.1917525773</v>
      </c>
      <c r="M58" s="47" t="n">
        <f aca="false">IF(Assumptions!$C$26=1,M13,M15)*M25</f>
        <v>26149.7492783505</v>
      </c>
      <c r="O58" s="47" t="n">
        <f aca="false">IF(Assumptions!$C$26=1,O13,O15)*O25</f>
        <v>7742</v>
      </c>
      <c r="P58" s="47" t="n">
        <f aca="false">IF(Assumptions!$C$26=1,P13,P15)*P25</f>
        <v>21717.1</v>
      </c>
      <c r="Q58" s="47" t="n">
        <f aca="false">IF(Assumptions!$C$26=1,Q13,Q15)*Q25</f>
        <v>34385.3142857143</v>
      </c>
      <c r="R58" s="47" t="n">
        <f aca="false">IF(Assumptions!$C$26=1,R13,R15)*R25</f>
        <v>48259.9714285714</v>
      </c>
      <c r="S58" s="47" t="n">
        <f aca="false">IF(Assumptions!$C$26=1,S13,S15)*S25</f>
        <v>55498.6285714286</v>
      </c>
      <c r="U58" s="47" t="n">
        <f aca="false">IF(Assumptions!$C$26=1,U13,U15)*U25</f>
        <v>3792</v>
      </c>
      <c r="V58" s="47" t="n">
        <f aca="false">IF(Assumptions!$C$26=1,V13,V15)*V25</f>
        <v>11390.8382608696</v>
      </c>
      <c r="W58" s="47" t="n">
        <f aca="false">IF(Assumptions!$C$26=1,W13,W15)*W25</f>
        <v>0</v>
      </c>
      <c r="X58" s="47" t="n">
        <f aca="false">IF(Assumptions!$C$26=1,X13,X15)*X25</f>
        <v>0</v>
      </c>
      <c r="Y58" s="47" t="n">
        <f aca="false">IF(Assumptions!$C$26=1,Y13,Y15)*Y25</f>
        <v>0</v>
      </c>
    </row>
    <row r="59" customFormat="false" ht="15" hidden="false" customHeight="false" outlineLevel="0" collapsed="false">
      <c r="A59" s="33" t="s">
        <v>262</v>
      </c>
      <c r="C59" s="47" t="n">
        <f aca="false">IF(Assumptions!$C$26=1,C16*C25,0)</f>
        <v>1580</v>
      </c>
      <c r="D59" s="47" t="n">
        <f aca="false">IF(Assumptions!$C$26=1,D16*D25,0)</f>
        <v>2370</v>
      </c>
      <c r="E59" s="47" t="n">
        <f aca="false">IF(Assumptions!$C$26=1,E16*E25,0)</f>
        <v>3160</v>
      </c>
      <c r="F59" s="47" t="n">
        <f aca="false">IF(Assumptions!$C$26=1,F16*F25,0)</f>
        <v>3950</v>
      </c>
      <c r="G59" s="47" t="n">
        <f aca="false">IF(Assumptions!$C$26=1,G16*G25,0)</f>
        <v>3950</v>
      </c>
      <c r="I59" s="47" t="n">
        <f aca="false">IF(Assumptions!$C$26=1,I16*I25,0)</f>
        <v>3792</v>
      </c>
      <c r="J59" s="47" t="n">
        <f aca="false">IF(Assumptions!$C$26=1,J16*J25,0)</f>
        <v>6636</v>
      </c>
      <c r="K59" s="47" t="n">
        <f aca="false">IF(Assumptions!$C$26=1,K16*K25,0)</f>
        <v>9480</v>
      </c>
      <c r="L59" s="47" t="n">
        <f aca="false">IF(Assumptions!$C$26=1,L16*L25,0)</f>
        <v>12324</v>
      </c>
      <c r="M59" s="47" t="n">
        <f aca="false">IF(Assumptions!$C$26=1,M16*M25,0)</f>
        <v>12324</v>
      </c>
      <c r="O59" s="47" t="n">
        <f aca="false">IF(Assumptions!$C$26=1,O16*O25,0)</f>
        <v>7742</v>
      </c>
      <c r="P59" s="47" t="n">
        <f aca="false">IF(Assumptions!$C$26=1,P16*P25,0)</f>
        <v>13272</v>
      </c>
      <c r="Q59" s="47" t="n">
        <f aca="false">IF(Assumptions!$C$26=1,Q16*Q25,0)</f>
        <v>19908</v>
      </c>
      <c r="R59" s="47" t="n">
        <f aca="false">IF(Assumptions!$C$26=1,R16*R25,0)</f>
        <v>26544</v>
      </c>
      <c r="S59" s="47" t="n">
        <f aca="false">IF(Assumptions!$C$26=1,S16*S25,0)</f>
        <v>26544</v>
      </c>
      <c r="U59" s="47" t="n">
        <f aca="false">IF(Assumptions!$C$26=1,U16*U25,0)</f>
        <v>3792</v>
      </c>
      <c r="V59" s="47" t="n">
        <f aca="false">IF(Assumptions!$C$26=1,V16*V25,0)</f>
        <v>6636</v>
      </c>
      <c r="W59" s="47" t="n">
        <f aca="false">IF(Assumptions!$C$26=1,W16*W25,0)</f>
        <v>0</v>
      </c>
      <c r="X59" s="47" t="n">
        <f aca="false">IF(Assumptions!$C$26=1,X16*X25,0)</f>
        <v>0</v>
      </c>
      <c r="Y59" s="47" t="n">
        <f aca="false">IF(Assumptions!$C$26=1,Y16*Y25,0)</f>
        <v>0</v>
      </c>
    </row>
    <row r="60" customFormat="false" ht="15" hidden="false" customHeight="false" outlineLevel="0" collapsed="false">
      <c r="A60" s="33" t="s">
        <v>803</v>
      </c>
      <c r="C60" s="47" t="n">
        <f aca="false">C33*(1+Assumptions!$C$10)*Assumptions!$C$24/365</f>
        <v>0</v>
      </c>
      <c r="D60" s="47" t="n">
        <f aca="false">D33*(1+Assumptions!$C$10)*Assumptions!$C$24/365</f>
        <v>2018.21917808219</v>
      </c>
      <c r="E60" s="47" t="n">
        <f aca="false">E33*(1+Assumptions!$C$10)*Assumptions!$C$24/365</f>
        <v>3027.32876712329</v>
      </c>
      <c r="F60" s="47" t="n">
        <f aca="false">F33*(1+Assumptions!$C$10)*Assumptions!$C$24/365</f>
        <v>4036.43835616438</v>
      </c>
      <c r="G60" s="47" t="n">
        <f aca="false">G33*(1+Assumptions!$C$10)*Assumptions!$C$24/365</f>
        <v>5045.54794520548</v>
      </c>
      <c r="I60" s="47" t="n">
        <f aca="false">I33*(1+Assumptions!$C$10)*Assumptions!$C$24/365</f>
        <v>0</v>
      </c>
      <c r="J60" s="47" t="n">
        <f aca="false">J33*(1+Assumptions!$C$10)*Assumptions!$C$24/365</f>
        <v>4915.33150684932</v>
      </c>
      <c r="K60" s="47" t="n">
        <f aca="false">K33*(1+Assumptions!$C$10)*Assumptions!$C$24/365</f>
        <v>8601.8301369863</v>
      </c>
      <c r="L60" s="47" t="n">
        <f aca="false">L33*(1+Assumptions!$C$10)*Assumptions!$C$24/365</f>
        <v>12288.3287671233</v>
      </c>
      <c r="M60" s="47" t="n">
        <f aca="false">M33*(1+Assumptions!$C$10)*Assumptions!$C$24/365</f>
        <v>15974.8273972603</v>
      </c>
      <c r="O60" s="47" t="n">
        <f aca="false">O33*(1+Assumptions!$C$10)*Assumptions!$C$24/365</f>
        <v>0</v>
      </c>
      <c r="P60" s="47" t="n">
        <f aca="false">P33*(1+Assumptions!$C$10)*Assumptions!$C$24/365</f>
        <v>10108.5657534247</v>
      </c>
      <c r="Q60" s="47" t="n">
        <f aca="false">Q33*(1+Assumptions!$C$10)*Assumptions!$C$24/365</f>
        <v>17328.9698630137</v>
      </c>
      <c r="R60" s="47" t="n">
        <f aca="false">R33*(1+Assumptions!$C$10)*Assumptions!$C$24/365</f>
        <v>25993.4547945206</v>
      </c>
      <c r="S60" s="47" t="n">
        <f aca="false">S33*(1+Assumptions!$C$10)*Assumptions!$C$24/365</f>
        <v>34657.9397260274</v>
      </c>
      <c r="U60" s="47" t="n">
        <f aca="false">U33*(1+Assumptions!$C$10)*Assumptions!$C$24/365</f>
        <v>0</v>
      </c>
      <c r="V60" s="47" t="n">
        <f aca="false">V33*(1+Assumptions!$C$10)*Assumptions!$C$24/365</f>
        <v>4843.72602739726</v>
      </c>
      <c r="W60" s="47" t="n">
        <f aca="false">W33*(1+Assumptions!$C$10)*Assumptions!$C$24/365</f>
        <v>3760.80194063927</v>
      </c>
      <c r="X60" s="47" t="n">
        <f aca="false">X33*(1+Assumptions!$C$10)*Assumptions!$C$24/365</f>
        <v>0</v>
      </c>
      <c r="Y60" s="47" t="n">
        <f aca="false">Y33*(1+Assumptions!$C$10)*Assumptions!$C$24/365</f>
        <v>0</v>
      </c>
    </row>
    <row r="61" customFormat="false" ht="15" hidden="false" customHeight="false" outlineLevel="0" collapsed="false">
      <c r="A61" s="33" t="s">
        <v>804</v>
      </c>
      <c r="C61" s="47" t="n">
        <f aca="false">Assumptions!$C$23*D13*(D20+D21+Assumptions!$C$42)*MIN(1,Assumptions!$C$48/12)</f>
        <v>2753.05145881007</v>
      </c>
      <c r="D61" s="47" t="n">
        <f aca="false">Assumptions!$C$23*E13*(E20+E21+Assumptions!$C$42)*MIN(1,Assumptions!$C$48/12)</f>
        <v>3873.26604691076</v>
      </c>
      <c r="E61" s="47" t="n">
        <f aca="false">Assumptions!$C$23*F13*(F20+F21+Assumptions!$C$42)*MIN(1,Assumptions!$C$48/12)</f>
        <v>4993.48063501144</v>
      </c>
      <c r="F61" s="47" t="n">
        <f aca="false">Assumptions!$C$23*G13*(G20+G21+Assumptions!$C$42)*MIN(1,Assumptions!$C$48/12)</f>
        <v>5601.07294050343</v>
      </c>
      <c r="G61" s="47" t="n">
        <f aca="false">Assumptions!$C$23*G13*(G20+G21+Assumptions!$C$42)*MIN(1,Assumptions!$C$48/12)</f>
        <v>5601.07294050343</v>
      </c>
      <c r="I61" s="47" t="n">
        <f aca="false">Assumptions!$C$23*J13*(J20+J21+Assumptions!$D$42)*MIN(1,Assumptions!$D$48/12)</f>
        <v>4258.3584528612</v>
      </c>
      <c r="J61" s="47" t="n">
        <f aca="false">Assumptions!$C$23*K13*(K20+K21+Assumptions!$D$42)*MIN(1,Assumptions!$D$48/12)</f>
        <v>6618.05799902884</v>
      </c>
      <c r="K61" s="47" t="n">
        <f aca="false">Assumptions!$C$23*L13*(L20+L21+Assumptions!$D$42)*MIN(1,Assumptions!$D$48/12)</f>
        <v>8977.75754519648</v>
      </c>
      <c r="L61" s="47" t="n">
        <f aca="false">Assumptions!$C$23*M13*(M20+M21+Assumptions!$D$42)*MIN(1,Assumptions!$D$48/12)</f>
        <v>10225.3647000598</v>
      </c>
      <c r="M61" s="47" t="n">
        <f aca="false">Assumptions!$C$23*M13*(M20+M21+Assumptions!$D$42)*MIN(1,Assumptions!$D$48/12)</f>
        <v>10225.3647000598</v>
      </c>
      <c r="O61" s="47" t="n">
        <f aca="false">Assumptions!$C$23*P13*(P20+P21+Assumptions!$E$42)*MIN(1,Assumptions!$E$48/12)</f>
        <v>4935.78539078675</v>
      </c>
      <c r="P61" s="47" t="n">
        <f aca="false">Assumptions!$C$23*Q13*(Q20+Q21+Assumptions!$E$42)*MIN(1,Assumptions!$E$48/12)</f>
        <v>7814.97216060337</v>
      </c>
      <c r="Q61" s="47" t="n">
        <f aca="false">Assumptions!$C$23*R13*(R20+R21+Assumptions!$E$42)*MIN(1,Assumptions!$E$48/12)</f>
        <v>10968.3549800355</v>
      </c>
      <c r="R61" s="47" t="n">
        <f aca="false">Assumptions!$C$23*S13*(S20+S21+Assumptions!$E$42)*MIN(1,Assumptions!$E$48/12)</f>
        <v>12613.5312777285</v>
      </c>
      <c r="S61" s="47" t="n">
        <f aca="false">Assumptions!$C$23*S13*(S20+S21+Assumptions!$E$42)*MIN(1,Assumptions!$E$48/12)</f>
        <v>12613.5312777285</v>
      </c>
      <c r="U61" s="47" t="n">
        <f aca="false">Assumptions!$C$23*V13*(V20+V21+Assumptions!$F$42)*MIN(1,Assumptions!$F$48/12)</f>
        <v>11079.1060964083</v>
      </c>
      <c r="V61" s="47" t="n">
        <f aca="false">Assumptions!$C$23*W13*(W20+W21+Assumptions!$F$42)*MIN(1,Assumptions!$F$48/12)</f>
        <v>0</v>
      </c>
      <c r="W61" s="47" t="n">
        <f aca="false">Assumptions!$C$23*X13*(X20+X21+Assumptions!$F$42)*MIN(1,Assumptions!$F$48/12)</f>
        <v>0</v>
      </c>
      <c r="X61" s="47" t="n">
        <f aca="false">Assumptions!$C$23*Y13*(Y20+Y21+Assumptions!$F$42)*MIN(1,Assumptions!$F$48/12)</f>
        <v>0</v>
      </c>
      <c r="Y61" s="47" t="n">
        <f aca="false">Assumptions!$C$23*Y13*(Y20+Y21+Assumptions!$F$42)*MIN(1,Assumptions!$F$48/12)</f>
        <v>0</v>
      </c>
    </row>
    <row r="62" customFormat="false" ht="15" hidden="false" customHeight="false" outlineLevel="0" collapsed="false">
      <c r="A62" s="33" t="s">
        <v>805</v>
      </c>
      <c r="C62" s="47" t="n">
        <f aca="false">(C13*(C22+C23)+C58)*Assumptions!$C$10</f>
        <v>1515.41749206522</v>
      </c>
      <c r="D62" s="47" t="n">
        <f aca="false">(D13*(D22+D23)+D58)*Assumptions!$C$10</f>
        <v>4069.29476027197</v>
      </c>
      <c r="E62" s="47" t="n">
        <f aca="false">(E13*(E22+E23)+E58)*Assumptions!$C$10</f>
        <v>5725.08776739165</v>
      </c>
      <c r="F62" s="47" t="n">
        <f aca="false">(F13*(F22+F23)+F58)*Assumptions!$C$10</f>
        <v>7380.88077451133</v>
      </c>
      <c r="G62" s="47" t="n">
        <f aca="false">(G13*(G22+G23)+G58)*Assumptions!$C$10</f>
        <v>8278.9650355984</v>
      </c>
      <c r="I62" s="47" t="n">
        <f aca="false">(I13*(I22+I23)+I58)*Assumptions!$C$10</f>
        <v>2835.25569782609</v>
      </c>
      <c r="J62" s="47" t="n">
        <f aca="false">(J13*(J22+J23)+J58)*Assumptions!$C$10</f>
        <v>8142.44515199395</v>
      </c>
      <c r="K62" s="47" t="n">
        <f aca="false">(K13*(K22+K23)+K58)*Assumptions!$C$10</f>
        <v>12654.4476859622</v>
      </c>
      <c r="L62" s="47" t="n">
        <f aca="false">(L13*(L22+L23)+L58)*Assumptions!$C$10</f>
        <v>17166.4502199305</v>
      </c>
      <c r="M62" s="47" t="n">
        <f aca="false">(M13*(M22+M23)+M58)*Assumptions!$C$10</f>
        <v>19552.0109805293</v>
      </c>
      <c r="O62" s="47" t="n">
        <f aca="false">(O13*(O22+O23)+O58)*Assumptions!$C$10</f>
        <v>4619.43372016304</v>
      </c>
      <c r="P62" s="47" t="n">
        <f aca="false">(P13*(P22+P23)+P58)*Assumptions!$C$10</f>
        <v>12957.9829558451</v>
      </c>
      <c r="Q62" s="47" t="n">
        <f aca="false">(Q13*(Q22+Q23)+Q58)*Assumptions!$C$10</f>
        <v>20516.7502311848</v>
      </c>
      <c r="R62" s="47" t="n">
        <f aca="false">(R13*(R22+R23)+R58)*Assumptions!$C$10</f>
        <v>28795.3680381359</v>
      </c>
      <c r="S62" s="47" t="n">
        <f aca="false">(S13*(S22+S23)+S58)*Assumptions!$C$10</f>
        <v>33114.4712278043</v>
      </c>
      <c r="U62" s="47" t="n">
        <f aca="false">(U13*(U22+U23)+U58)*Assumptions!$C$10</f>
        <v>3389.53172478261</v>
      </c>
      <c r="V62" s="47" t="n">
        <f aca="false">(V13*(V22+V23)+V58)*Assumptions!$C$10</f>
        <v>10181.8585593578</v>
      </c>
      <c r="W62" s="47" t="n">
        <f aca="false">(W13*(W22+W23)+W58)*Assumptions!$C$10</f>
        <v>0</v>
      </c>
      <c r="X62" s="47" t="n">
        <f aca="false">(X13*(X22+X23)+X58)*Assumptions!$C$10</f>
        <v>0</v>
      </c>
      <c r="Y62" s="47" t="n">
        <f aca="false">(Y13*(Y22+Y23)+Y58)*Assumptions!$C$10</f>
        <v>0</v>
      </c>
    </row>
    <row r="63" customFormat="false" ht="15" hidden="false" customHeight="false" outlineLevel="0" collapsed="false">
      <c r="A63" s="33" t="s">
        <v>806</v>
      </c>
      <c r="C63" s="47" t="n">
        <f aca="false">C62*Assumptions!$C$27</f>
        <v>378.854373016304</v>
      </c>
      <c r="D63" s="47" t="n">
        <f aca="false">D62*Assumptions!$C$27</f>
        <v>1017.32369006799</v>
      </c>
      <c r="E63" s="47" t="n">
        <f aca="false">E62*Assumptions!$C$27</f>
        <v>1431.27194184791</v>
      </c>
      <c r="F63" s="47" t="n">
        <f aca="false">F62*Assumptions!$C$27</f>
        <v>1845.22019362783</v>
      </c>
      <c r="G63" s="47" t="n">
        <f aca="false">G62*Assumptions!$C$27</f>
        <v>2069.7412588996</v>
      </c>
      <c r="I63" s="47" t="n">
        <f aca="false">I62*Assumptions!$C$27</f>
        <v>708.813924456522</v>
      </c>
      <c r="J63" s="47" t="n">
        <f aca="false">J62*Assumptions!$C$27</f>
        <v>2035.61128799849</v>
      </c>
      <c r="K63" s="47" t="n">
        <f aca="false">K62*Assumptions!$C$27</f>
        <v>3163.61192149056</v>
      </c>
      <c r="L63" s="47" t="n">
        <f aca="false">L62*Assumptions!$C$27</f>
        <v>4291.61255498263</v>
      </c>
      <c r="M63" s="47" t="n">
        <f aca="false">M62*Assumptions!$C$27</f>
        <v>4888.00274513231</v>
      </c>
      <c r="O63" s="47" t="n">
        <f aca="false">O62*Assumptions!$C$27</f>
        <v>1154.85843004076</v>
      </c>
      <c r="P63" s="47" t="n">
        <f aca="false">P62*Assumptions!$C$27</f>
        <v>3239.49573896128</v>
      </c>
      <c r="Q63" s="47" t="n">
        <f aca="false">Q62*Assumptions!$C$27</f>
        <v>5129.1875577962</v>
      </c>
      <c r="R63" s="47" t="n">
        <f aca="false">R62*Assumptions!$C$27</f>
        <v>7198.84200953397</v>
      </c>
      <c r="S63" s="47" t="n">
        <f aca="false">S62*Assumptions!$C$27</f>
        <v>8278.61780695109</v>
      </c>
      <c r="U63" s="47" t="n">
        <f aca="false">U62*Assumptions!$C$27</f>
        <v>847.382931195652</v>
      </c>
      <c r="V63" s="47" t="n">
        <f aca="false">V62*Assumptions!$C$27</f>
        <v>2545.46463983946</v>
      </c>
      <c r="W63" s="47" t="n">
        <f aca="false">W62*Assumptions!$C$27</f>
        <v>0</v>
      </c>
      <c r="X63" s="47" t="n">
        <f aca="false">X62*Assumptions!$C$27</f>
        <v>0</v>
      </c>
      <c r="Y63" s="47" t="n">
        <f aca="false">Y62*Assumptions!$C$27</f>
        <v>0</v>
      </c>
    </row>
    <row r="64" customFormat="false" ht="15" hidden="false" customHeight="false" outlineLevel="0" collapsed="false">
      <c r="A64" s="33" t="s">
        <v>807</v>
      </c>
      <c r="C64" s="47" t="n">
        <f aca="false">C40*Assumptions!$C$25/365</f>
        <v>2484.94520547945</v>
      </c>
      <c r="D64" s="47" t="n">
        <f aca="false">D40*Assumptions!$C$25/365</f>
        <v>2152.23287671233</v>
      </c>
      <c r="E64" s="47" t="n">
        <f aca="false">E40*Assumptions!$C$25/365</f>
        <v>2110.64383561644</v>
      </c>
      <c r="F64" s="47" t="n">
        <f aca="false">F40*Assumptions!$C$25/365</f>
        <v>2277</v>
      </c>
      <c r="G64" s="47" t="n">
        <f aca="false">G40*Assumptions!$C$25/365</f>
        <v>2297.79452054795</v>
      </c>
      <c r="I64" s="47" t="n">
        <f aca="false">I40*Assumptions!$C$25/365</f>
        <v>2160.82191780822</v>
      </c>
      <c r="J64" s="47" t="n">
        <f aca="false">J40*Assumptions!$C$25/365</f>
        <v>1871.50684931507</v>
      </c>
      <c r="K64" s="47" t="n">
        <f aca="false">K40*Assumptions!$C$25/365</f>
        <v>1835.34246575342</v>
      </c>
      <c r="L64" s="47" t="n">
        <f aca="false">L40*Assumptions!$C$25/365</f>
        <v>1980</v>
      </c>
      <c r="M64" s="47" t="n">
        <f aca="false">M40*Assumptions!$C$25/365</f>
        <v>1998.08219178082</v>
      </c>
      <c r="O64" s="47" t="n">
        <f aca="false">O40*Assumptions!$C$25/365</f>
        <v>2376.90410958904</v>
      </c>
      <c r="P64" s="47" t="n">
        <f aca="false">P40*Assumptions!$C$25/365</f>
        <v>2058.65753424658</v>
      </c>
      <c r="Q64" s="47" t="n">
        <f aca="false">Q40*Assumptions!$C$25/365</f>
        <v>2018.87671232877</v>
      </c>
      <c r="R64" s="47" t="n">
        <f aca="false">R40*Assumptions!$C$25/365</f>
        <v>2178</v>
      </c>
      <c r="S64" s="47" t="n">
        <f aca="false">S40*Assumptions!$C$25/365</f>
        <v>2197.8904109589</v>
      </c>
      <c r="U64" s="47" t="n">
        <f aca="false">U40*Assumptions!$C$25/365</f>
        <v>2592.98630136986</v>
      </c>
      <c r="V64" s="47" t="n">
        <f aca="false">V40*Assumptions!$C$25/365</f>
        <v>2245.80821917808</v>
      </c>
      <c r="W64" s="47" t="n">
        <f aca="false">W40*Assumptions!$C$25/365</f>
        <v>2202.41095890411</v>
      </c>
      <c r="X64" s="47" t="n">
        <f aca="false">X40*Assumptions!$C$25/365</f>
        <v>2376</v>
      </c>
      <c r="Y64" s="47" t="n">
        <f aca="false">Y40*Assumptions!$C$25/365</f>
        <v>2397.69863013699</v>
      </c>
    </row>
    <row r="65" customFormat="false" ht="15" hidden="false" customHeight="false" outlineLevel="0" collapsed="false">
      <c r="A65" s="33" t="s">
        <v>808</v>
      </c>
      <c r="C65" s="47" t="n">
        <f aca="false">C33*Assumptions!$C$10</f>
        <v>0</v>
      </c>
      <c r="D65" s="47" t="n">
        <f aca="false">D33*Assumptions!$C$10</f>
        <v>2841.07438016529</v>
      </c>
      <c r="E65" s="47" t="n">
        <f aca="false">E33*Assumptions!$C$10</f>
        <v>4261.61157024793</v>
      </c>
      <c r="F65" s="47" t="n">
        <f aca="false">F33*Assumptions!$C$10</f>
        <v>5682.14876033058</v>
      </c>
      <c r="G65" s="47" t="n">
        <f aca="false">G33*Assumptions!$C$10</f>
        <v>7102.68595041322</v>
      </c>
      <c r="I65" s="47" t="n">
        <f aca="false">I33*Assumptions!$C$10</f>
        <v>0</v>
      </c>
      <c r="J65" s="47" t="n">
        <f aca="false">J33*Assumptions!$C$10</f>
        <v>6919.37851239669</v>
      </c>
      <c r="K65" s="47" t="n">
        <f aca="false">K33*Assumptions!$C$10</f>
        <v>12108.9123966942</v>
      </c>
      <c r="L65" s="47" t="n">
        <f aca="false">L33*Assumptions!$C$10</f>
        <v>17298.4462809917</v>
      </c>
      <c r="M65" s="47" t="n">
        <f aca="false">M33*Assumptions!$C$10</f>
        <v>22487.9801652893</v>
      </c>
      <c r="O65" s="47" t="n">
        <f aca="false">O33*Assumptions!$C$10</f>
        <v>0</v>
      </c>
      <c r="P65" s="47" t="n">
        <f aca="false">P33*Assumptions!$C$10</f>
        <v>14229.9644628099</v>
      </c>
      <c r="Q65" s="47" t="n">
        <f aca="false">Q33*Assumptions!$C$10</f>
        <v>24394.2247933884</v>
      </c>
      <c r="R65" s="47" t="n">
        <f aca="false">R33*Assumptions!$C$10</f>
        <v>36591.3371900826</v>
      </c>
      <c r="S65" s="47" t="n">
        <f aca="false">S33*Assumptions!$C$10</f>
        <v>48788.4495867769</v>
      </c>
      <c r="U65" s="47" t="n">
        <f aca="false">U33*Assumptions!$C$10</f>
        <v>0</v>
      </c>
      <c r="V65" s="47" t="n">
        <f aca="false">V33*Assumptions!$C$10</f>
        <v>6818.57851239669</v>
      </c>
      <c r="W65" s="47" t="n">
        <f aca="false">W33*Assumptions!$C$10</f>
        <v>5294.13165748393</v>
      </c>
      <c r="X65" s="47" t="n">
        <f aca="false">X33*Assumptions!$C$10</f>
        <v>0</v>
      </c>
      <c r="Y65" s="47" t="n">
        <f aca="false">Y33*Assumptions!$C$10</f>
        <v>0</v>
      </c>
    </row>
    <row r="66" customFormat="false" ht="15" hidden="false" customHeight="false" outlineLevel="0" collapsed="false">
      <c r="A66" s="33" t="s">
        <v>809</v>
      </c>
      <c r="C66" s="47" t="n">
        <f aca="false">C65*Assumptions!$C$27</f>
        <v>0</v>
      </c>
      <c r="D66" s="47" t="n">
        <f aca="false">D65*Assumptions!$C$27</f>
        <v>710.268595041322</v>
      </c>
      <c r="E66" s="47" t="n">
        <f aca="false">E65*Assumptions!$C$27</f>
        <v>1065.40289256198</v>
      </c>
      <c r="F66" s="47" t="n">
        <f aca="false">F65*Assumptions!$C$27</f>
        <v>1420.53719008264</v>
      </c>
      <c r="G66" s="47" t="n">
        <f aca="false">G65*Assumptions!$C$27</f>
        <v>1775.67148760331</v>
      </c>
      <c r="I66" s="47" t="n">
        <f aca="false">I65*Assumptions!$C$27</f>
        <v>0</v>
      </c>
      <c r="J66" s="47" t="n">
        <f aca="false">J65*Assumptions!$C$27</f>
        <v>1729.84462809917</v>
      </c>
      <c r="K66" s="47" t="n">
        <f aca="false">K65*Assumptions!$C$27</f>
        <v>3027.22809917355</v>
      </c>
      <c r="L66" s="47" t="n">
        <f aca="false">L65*Assumptions!$C$27</f>
        <v>4324.61157024793</v>
      </c>
      <c r="M66" s="47" t="n">
        <f aca="false">M65*Assumptions!$C$27</f>
        <v>5621.99504132231</v>
      </c>
      <c r="O66" s="47" t="n">
        <f aca="false">O65*Assumptions!$C$27</f>
        <v>0</v>
      </c>
      <c r="P66" s="47" t="n">
        <f aca="false">P65*Assumptions!$C$27</f>
        <v>3557.49111570248</v>
      </c>
      <c r="Q66" s="47" t="n">
        <f aca="false">Q65*Assumptions!$C$27</f>
        <v>6098.55619834711</v>
      </c>
      <c r="R66" s="47" t="n">
        <f aca="false">R65*Assumptions!$C$27</f>
        <v>9147.83429752066</v>
      </c>
      <c r="S66" s="47" t="n">
        <f aca="false">S65*Assumptions!$C$27</f>
        <v>12197.1123966942</v>
      </c>
      <c r="U66" s="47" t="n">
        <f aca="false">U65*Assumptions!$C$27</f>
        <v>0</v>
      </c>
      <c r="V66" s="47" t="n">
        <f aca="false">V65*Assumptions!$C$27</f>
        <v>1704.64462809917</v>
      </c>
      <c r="W66" s="47" t="n">
        <f aca="false">W65*Assumptions!$C$27</f>
        <v>1323.53291437098</v>
      </c>
      <c r="X66" s="47" t="n">
        <f aca="false">X65*Assumptions!$C$27</f>
        <v>0</v>
      </c>
      <c r="Y66" s="47" t="n">
        <f aca="false">Y65*Assumptions!$C$27</f>
        <v>0</v>
      </c>
    </row>
    <row r="67" customFormat="false" ht="15" hidden="false" customHeight="false" outlineLevel="0" collapsed="false">
      <c r="A67" s="34" t="s">
        <v>810</v>
      </c>
      <c r="C67" s="47" t="n">
        <f aca="false">C57+C59+C60+C61+C63-C64-C66</f>
        <v>8078.23439808605</v>
      </c>
      <c r="D67" s="47" t="n">
        <f aca="false">D57+D59+D60+D61+D63-D64-D66</f>
        <v>15193.218100916</v>
      </c>
      <c r="E67" s="47" t="n">
        <f aca="false">E57+E59+E60+E61+E63-E64-E66</f>
        <v>21138.5821592825</v>
      </c>
      <c r="F67" s="47" t="n">
        <f aca="false">F57+F59+F60+F61+F63-F64-F66</f>
        <v>26363.3787295608</v>
      </c>
      <c r="G67" s="47" t="n">
        <f aca="false">G57+G59+G60+G61+G63-G64-G66</f>
        <v>27221.0805658051</v>
      </c>
      <c r="I67" s="47" t="n">
        <f aca="false">I57+I59+I60+I61+I63-I64-I66</f>
        <v>16687.5680682052</v>
      </c>
      <c r="J67" s="47" t="n">
        <f aca="false">J57+J59+J60+J61+J63-J64-J66</f>
        <v>34259.7801316798</v>
      </c>
      <c r="K67" s="47" t="n">
        <f aca="false">K57+K59+K60+K61+K63-K64-K66</f>
        <v>50583.6730604855</v>
      </c>
      <c r="L67" s="47" t="n">
        <f aca="false">L57+L59+L60+L61+L63-L64-L66</f>
        <v>65614.6516801786</v>
      </c>
      <c r="M67" s="47" t="n">
        <f aca="false">M57+M59+M60+M61+M63-M64-M66</f>
        <v>68582.0748376101</v>
      </c>
      <c r="O67" s="47" t="n">
        <f aca="false">O57+O59+O60+O61+O63-O64-O66</f>
        <v>26288.5431405863</v>
      </c>
      <c r="P67" s="47" t="n">
        <f aca="false">P57+P59+P60+P61+P63-P64-P66</f>
        <v>54246.5480247794</v>
      </c>
      <c r="Q67" s="47" t="n">
        <f aca="false">Q57+Q59+Q60+Q61+Q63-Q64-Q66</f>
        <v>83358.5740227782</v>
      </c>
      <c r="R67" s="47" t="n">
        <f aca="false">R57+R59+R60+R61+R63-R64-R66</f>
        <v>111879.319827741</v>
      </c>
      <c r="S67" s="47" t="n">
        <f aca="false">S57+S59+S60+S61+S63-S64-S66</f>
        <v>118554.412046532</v>
      </c>
      <c r="U67" s="47" t="n">
        <f aca="false">U57+U59+U60+U61+U63-U64-U66</f>
        <v>25904.1299871037</v>
      </c>
      <c r="V67" s="47" t="n">
        <f aca="false">V57+V59+V60+V61+V63-V64-V66</f>
        <v>32437.3355264812</v>
      </c>
      <c r="W67" s="47" t="n">
        <f aca="false">W57+W59+W60+W61+W63-W64-W66</f>
        <v>234.858067364178</v>
      </c>
      <c r="X67" s="47" t="n">
        <f aca="false">X57+X59+X60+X61+X63-X64-X66</f>
        <v>-2376</v>
      </c>
      <c r="Y67" s="47" t="n">
        <f aca="false">Y57+Y59+Y60+Y61+Y63-Y64-Y66</f>
        <v>-2397.69863013699</v>
      </c>
    </row>
    <row r="68" customFormat="false" ht="15" hidden="false" customHeight="false" outlineLevel="0" collapsed="false">
      <c r="A68" s="33" t="s">
        <v>811</v>
      </c>
      <c r="C68" s="47" t="n">
        <f aca="false">C67-0</f>
        <v>8078.23439808605</v>
      </c>
      <c r="D68" s="47" t="n">
        <f aca="false">D67-C67</f>
        <v>7114.98370282993</v>
      </c>
      <c r="E68" s="47" t="n">
        <f aca="false">E67-D67</f>
        <v>5945.36405836649</v>
      </c>
      <c r="F68" s="47" t="n">
        <f aca="false">F67-E67</f>
        <v>5224.79657027836</v>
      </c>
      <c r="G68" s="47" t="n">
        <f aca="false">G67-F67</f>
        <v>857.70183624425</v>
      </c>
      <c r="I68" s="47" t="n">
        <f aca="false">I67-0</f>
        <v>16687.5680682052</v>
      </c>
      <c r="J68" s="47" t="n">
        <f aca="false">J67-I67</f>
        <v>17572.2120634746</v>
      </c>
      <c r="K68" s="47" t="n">
        <f aca="false">K67-J67</f>
        <v>16323.8929288057</v>
      </c>
      <c r="L68" s="47" t="n">
        <f aca="false">L67-K67</f>
        <v>15030.9786196931</v>
      </c>
      <c r="M68" s="47" t="n">
        <f aca="false">M67-L67</f>
        <v>2967.42315743146</v>
      </c>
      <c r="O68" s="47" t="n">
        <f aca="false">O67-0</f>
        <v>26288.5431405863</v>
      </c>
      <c r="P68" s="47" t="n">
        <f aca="false">P67-O67</f>
        <v>27958.0048841931</v>
      </c>
      <c r="Q68" s="47" t="n">
        <f aca="false">Q67-P67</f>
        <v>29112.0259979988</v>
      </c>
      <c r="R68" s="47" t="n">
        <f aca="false">R67-Q67</f>
        <v>28520.7458049624</v>
      </c>
      <c r="S68" s="47" t="n">
        <f aca="false">S67-R67</f>
        <v>6675.09221879153</v>
      </c>
      <c r="U68" s="47" t="n">
        <f aca="false">U67-0</f>
        <v>25904.1299871037</v>
      </c>
      <c r="V68" s="47" t="n">
        <f aca="false">V67-U67</f>
        <v>6533.20553937753</v>
      </c>
      <c r="W68" s="47" t="n">
        <f aca="false">W67-V67</f>
        <v>-32202.477459117</v>
      </c>
      <c r="X68" s="47" t="n">
        <f aca="false">X67-W67</f>
        <v>-2610.85806736418</v>
      </c>
      <c r="Y68" s="47" t="n">
        <f aca="false">Y67-X67</f>
        <v>-21.6986301369861</v>
      </c>
    </row>
    <row r="70" customFormat="false" ht="15" hidden="false" customHeight="false" outlineLevel="0" collapsed="false">
      <c r="A70" s="23" t="s">
        <v>812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customFormat="false" ht="15" hidden="false" customHeight="false" outlineLevel="0" collapsed="false">
      <c r="A71" s="33" t="s">
        <v>813</v>
      </c>
      <c r="C71" s="47" t="n">
        <f aca="false">C54+C44-C68</f>
        <v>-39211.7343980861</v>
      </c>
      <c r="D71" s="47" t="n">
        <f aca="false">D54+D44-D68</f>
        <v>-37415.6682804722</v>
      </c>
      <c r="E71" s="47" t="n">
        <f aca="false">E54+E44-E68</f>
        <v>-39714.32700053</v>
      </c>
      <c r="F71" s="47" t="n">
        <f aca="false">F54+F44-F68</f>
        <v>-45362.9439873671</v>
      </c>
      <c r="G71" s="47" t="n">
        <f aca="false">G54+G44-G68</f>
        <v>-45779.4369173368</v>
      </c>
      <c r="I71" s="47" t="n">
        <f aca="false">I54+I44-I68</f>
        <v>-43877.5680682052</v>
      </c>
      <c r="J71" s="47" t="n">
        <f aca="false">J54+J44-J68</f>
        <v>-38578.1606315915</v>
      </c>
      <c r="K71" s="47" t="n">
        <f aca="false">K54+K44-K68</f>
        <v>-36968.7018436408</v>
      </c>
      <c r="L71" s="47" t="n">
        <f aca="false">L54+L44-L68</f>
        <v>-37611.9857660899</v>
      </c>
      <c r="M71" s="47" t="n">
        <f aca="false">M54+M44-M68</f>
        <v>-25779.6584099614</v>
      </c>
      <c r="O71" s="47" t="n">
        <f aca="false">O54+O44-O68</f>
        <v>-56107.5431405863</v>
      </c>
      <c r="P71" s="47" t="n">
        <f aca="false">P54+P44-P68</f>
        <v>-35030.5649451437</v>
      </c>
      <c r="Q71" s="47" t="n">
        <f aca="false">Q54+Q44-Q68</f>
        <v>-23465.6056344736</v>
      </c>
      <c r="R71" s="47" t="n">
        <f aca="false">R54+R44-R68</f>
        <v>-9038.37387108705</v>
      </c>
      <c r="S71" s="47" t="n">
        <f aca="false">S54+S44-S68</f>
        <v>27139.7720178428</v>
      </c>
      <c r="U71" s="47" t="n">
        <f aca="false">U54+U44-U68</f>
        <v>-58352.1299871037</v>
      </c>
      <c r="V71" s="47" t="n">
        <f aca="false">V54+V44-V68</f>
        <v>-41481.1860727619</v>
      </c>
      <c r="W71" s="47" t="n">
        <f aca="false">W54+W44-W68</f>
        <v>-3130.30162167182</v>
      </c>
      <c r="X71" s="47" t="n">
        <f aca="false">X54+X44-X68</f>
        <v>-31474.5951703434</v>
      </c>
      <c r="Y71" s="47" t="n">
        <f aca="false">Y54+Y44-Y68</f>
        <v>-36530.9762694947</v>
      </c>
    </row>
    <row r="72" customFormat="false" ht="15" hidden="false" customHeight="false" outlineLevel="0" collapsed="false">
      <c r="A72" s="33" t="s">
        <v>814</v>
      </c>
      <c r="C72" s="47" t="n">
        <f aca="false">-C42</f>
        <v>-13000</v>
      </c>
      <c r="D72" s="47" t="n">
        <f aca="false">-D42</f>
        <v>-0</v>
      </c>
      <c r="E72" s="47" t="n">
        <f aca="false">-E42</f>
        <v>-3000</v>
      </c>
      <c r="F72" s="47" t="n">
        <f aca="false">-F42</f>
        <v>-0</v>
      </c>
      <c r="G72" s="47" t="n">
        <f aca="false">-G42</f>
        <v>-0</v>
      </c>
      <c r="I72" s="47" t="n">
        <f aca="false">-I42</f>
        <v>-13000</v>
      </c>
      <c r="J72" s="47" t="n">
        <f aca="false">-J42</f>
        <v>-0</v>
      </c>
      <c r="K72" s="47" t="n">
        <f aca="false">-K42</f>
        <v>-3000</v>
      </c>
      <c r="L72" s="47" t="n">
        <f aca="false">-L42</f>
        <v>-0</v>
      </c>
      <c r="M72" s="47" t="n">
        <f aca="false">-M42</f>
        <v>-0</v>
      </c>
      <c r="O72" s="47" t="n">
        <f aca="false">-O42</f>
        <v>-13000</v>
      </c>
      <c r="P72" s="47" t="n">
        <f aca="false">-P42</f>
        <v>-0</v>
      </c>
      <c r="Q72" s="47" t="n">
        <f aca="false">-Q42</f>
        <v>-3000</v>
      </c>
      <c r="R72" s="47" t="n">
        <f aca="false">-R42</f>
        <v>-0</v>
      </c>
      <c r="S72" s="47" t="n">
        <f aca="false">-S42</f>
        <v>-0</v>
      </c>
      <c r="U72" s="47" t="n">
        <f aca="false">-U42</f>
        <v>-13000</v>
      </c>
      <c r="V72" s="47" t="n">
        <f aca="false">-V42</f>
        <v>-0</v>
      </c>
      <c r="W72" s="47" t="n">
        <f aca="false">-W42</f>
        <v>-3000</v>
      </c>
      <c r="X72" s="47" t="n">
        <f aca="false">-X42</f>
        <v>-0</v>
      </c>
      <c r="Y72" s="47" t="n">
        <f aca="false">-Y42</f>
        <v>-0</v>
      </c>
    </row>
    <row r="73" customFormat="false" ht="15" hidden="false" customHeight="false" outlineLevel="0" collapsed="false">
      <c r="A73" s="33" t="s">
        <v>322</v>
      </c>
      <c r="C73" s="47" t="n">
        <f aca="false">IF(0=0,Assumptions!$C$9,0)</f>
        <v>50000</v>
      </c>
      <c r="D73" s="47" t="n">
        <f aca="false">IF(1=0,Assumptions!$C$9,0)</f>
        <v>0</v>
      </c>
      <c r="E73" s="47" t="n">
        <f aca="false">IF(2=0,Assumptions!$C$9,0)</f>
        <v>0</v>
      </c>
      <c r="F73" s="47" t="n">
        <f aca="false">IF(3=0,Assumptions!$C$9,0)</f>
        <v>0</v>
      </c>
      <c r="G73" s="47" t="n">
        <f aca="false">IF(4=0,Assumptions!$C$9,0)</f>
        <v>0</v>
      </c>
      <c r="I73" s="47" t="n">
        <f aca="false">IF(0=0,Assumptions!$C$9,0)</f>
        <v>50000</v>
      </c>
      <c r="J73" s="47" t="n">
        <f aca="false">IF(1=0,Assumptions!$C$9,0)</f>
        <v>0</v>
      </c>
      <c r="K73" s="47" t="n">
        <f aca="false">IF(2=0,Assumptions!$C$9,0)</f>
        <v>0</v>
      </c>
      <c r="L73" s="47" t="n">
        <f aca="false">IF(3=0,Assumptions!$C$9,0)</f>
        <v>0</v>
      </c>
      <c r="M73" s="47" t="n">
        <f aca="false">IF(4=0,Assumptions!$C$9,0)</f>
        <v>0</v>
      </c>
      <c r="O73" s="47" t="n">
        <f aca="false">IF(0=0,Assumptions!$C$9,0)</f>
        <v>50000</v>
      </c>
      <c r="P73" s="47" t="n">
        <f aca="false">IF(1=0,Assumptions!$C$9,0)</f>
        <v>0</v>
      </c>
      <c r="Q73" s="47" t="n">
        <f aca="false">IF(2=0,Assumptions!$C$9,0)</f>
        <v>0</v>
      </c>
      <c r="R73" s="47" t="n">
        <f aca="false">IF(3=0,Assumptions!$C$9,0)</f>
        <v>0</v>
      </c>
      <c r="S73" s="47" t="n">
        <f aca="false">IF(4=0,Assumptions!$C$9,0)</f>
        <v>0</v>
      </c>
      <c r="U73" s="47" t="n">
        <f aca="false">IF(0=0,Assumptions!$C$9,0)</f>
        <v>50000</v>
      </c>
      <c r="V73" s="47" t="n">
        <f aca="false">IF(1=0,Assumptions!$C$9,0)</f>
        <v>0</v>
      </c>
      <c r="W73" s="47" t="n">
        <f aca="false">IF(2=0,Assumptions!$C$9,0)</f>
        <v>0</v>
      </c>
      <c r="X73" s="47" t="n">
        <f aca="false">IF(3=0,Assumptions!$C$9,0)</f>
        <v>0</v>
      </c>
      <c r="Y73" s="47" t="n">
        <f aca="false">IF(4=0,Assumptions!$C$9,0)</f>
        <v>0</v>
      </c>
    </row>
    <row r="74" customFormat="false" ht="15" hidden="false" customHeight="false" outlineLevel="0" collapsed="false">
      <c r="A74" s="33" t="s">
        <v>815</v>
      </c>
      <c r="C74" s="47" t="n">
        <f aca="false">0-0+C71+C72+C73</f>
        <v>-2211.73439808605</v>
      </c>
      <c r="D74" s="47" t="n">
        <f aca="false">C77-C75+D71+D72+D73</f>
        <v>-39627.4026785583</v>
      </c>
      <c r="E74" s="47" t="n">
        <f aca="false">D77-D75+E71+E72+E73</f>
        <v>-82341.7296790883</v>
      </c>
      <c r="F74" s="47" t="n">
        <f aca="false">E77-E75+F71+F72+F73</f>
        <v>-127704.673666455</v>
      </c>
      <c r="G74" s="47" t="n">
        <f aca="false">F77-F75+G71+G72+G73</f>
        <v>-173484.110583792</v>
      </c>
      <c r="I74" s="47" t="n">
        <f aca="false">0-0+I71+I72+I73</f>
        <v>-6877.56806820515</v>
      </c>
      <c r="J74" s="47" t="n">
        <f aca="false">I77-I75+J71+J72+J73</f>
        <v>-45455.7286997966</v>
      </c>
      <c r="K74" s="47" t="n">
        <f aca="false">J77-J75+K71+K72+K73</f>
        <v>-85424.4305434374</v>
      </c>
      <c r="L74" s="47" t="n">
        <f aca="false">K77-K75+L71+L72+L73</f>
        <v>-123036.416309527</v>
      </c>
      <c r="M74" s="47" t="n">
        <f aca="false">L77-L75+M71+M72+M73</f>
        <v>-148816.074719489</v>
      </c>
      <c r="O74" s="47" t="n">
        <f aca="false">0-0+O71+O72+O73</f>
        <v>-19107.5431405863</v>
      </c>
      <c r="P74" s="47" t="n">
        <f aca="false">O77-O75+P71+P72+P73</f>
        <v>-54138.10808573</v>
      </c>
      <c r="Q74" s="47" t="n">
        <f aca="false">P77-P75+Q71+Q72+Q73</f>
        <v>-80603.7137202036</v>
      </c>
      <c r="R74" s="47" t="n">
        <f aca="false">Q77-Q75+R71+R72+R73</f>
        <v>-89642.0875912906</v>
      </c>
      <c r="S74" s="47" t="n">
        <f aca="false">R77-R75+S71+S72+S73</f>
        <v>-62502.3155734478</v>
      </c>
      <c r="U74" s="47" t="n">
        <f aca="false">0-0+U71+U72+U73</f>
        <v>-21352.1299871037</v>
      </c>
      <c r="V74" s="47" t="n">
        <f aca="false">U77-U75+V71+V72+V73</f>
        <v>-62833.3160598655</v>
      </c>
      <c r="W74" s="47" t="n">
        <f aca="false">V77-V75+W71+W72+W73</f>
        <v>-68963.6176815374</v>
      </c>
      <c r="X74" s="47" t="n">
        <f aca="false">W77-W75+X71+X72+X73</f>
        <v>-100438.212851881</v>
      </c>
      <c r="Y74" s="47" t="n">
        <f aca="false">X77-X75+Y71+Y72+Y73</f>
        <v>-136969.189121375</v>
      </c>
    </row>
    <row r="75" customFormat="false" ht="15" hidden="false" customHeight="false" outlineLevel="0" collapsed="false">
      <c r="A75" s="33" t="s">
        <v>816</v>
      </c>
      <c r="C75" s="47" t="n">
        <f aca="false">MAX(0,Assumptions!$C$32-C74)</f>
        <v>7211.73439808605</v>
      </c>
      <c r="D75" s="47" t="n">
        <f aca="false">MAX(0,Assumptions!$C$32-D74)</f>
        <v>44627.4026785583</v>
      </c>
      <c r="E75" s="47" t="n">
        <f aca="false">MAX(0,Assumptions!$C$32-E74)</f>
        <v>87341.7296790883</v>
      </c>
      <c r="F75" s="47" t="n">
        <f aca="false">MAX(0,Assumptions!$C$32-F74)</f>
        <v>132704.673666455</v>
      </c>
      <c r="G75" s="47" t="n">
        <f aca="false">MAX(0,Assumptions!$C$32-G74)</f>
        <v>178484.110583792</v>
      </c>
      <c r="I75" s="47" t="n">
        <f aca="false">MAX(0,Assumptions!$C$32-I74)</f>
        <v>11877.5680682052</v>
      </c>
      <c r="J75" s="47" t="n">
        <f aca="false">MAX(0,Assumptions!$C$32-J74)</f>
        <v>50455.7286997966</v>
      </c>
      <c r="K75" s="47" t="n">
        <f aca="false">MAX(0,Assumptions!$C$32-K74)</f>
        <v>90424.4305434374</v>
      </c>
      <c r="L75" s="47" t="n">
        <f aca="false">MAX(0,Assumptions!$C$32-L74)</f>
        <v>128036.416309527</v>
      </c>
      <c r="M75" s="47" t="n">
        <f aca="false">MAX(0,Assumptions!$C$32-M74)</f>
        <v>153816.074719489</v>
      </c>
      <c r="O75" s="47" t="n">
        <f aca="false">MAX(0,Assumptions!$C$32-O74)</f>
        <v>24107.5431405863</v>
      </c>
      <c r="P75" s="47" t="n">
        <f aca="false">MAX(0,Assumptions!$C$32-P74)</f>
        <v>59138.10808573</v>
      </c>
      <c r="Q75" s="47" t="n">
        <f aca="false">MAX(0,Assumptions!$C$32-Q74)</f>
        <v>85603.7137202036</v>
      </c>
      <c r="R75" s="47" t="n">
        <f aca="false">MAX(0,Assumptions!$C$32-R74)</f>
        <v>94642.0875912906</v>
      </c>
      <c r="S75" s="47" t="n">
        <f aca="false">MAX(0,Assumptions!$C$32-S74)</f>
        <v>67502.3155734479</v>
      </c>
      <c r="U75" s="47" t="n">
        <f aca="false">MAX(0,Assumptions!$C$32-U74)</f>
        <v>26352.1299871037</v>
      </c>
      <c r="V75" s="47" t="n">
        <f aca="false">MAX(0,Assumptions!$C$32-V74)</f>
        <v>67833.3160598655</v>
      </c>
      <c r="W75" s="47" t="n">
        <f aca="false">MAX(0,Assumptions!$C$32-W74)</f>
        <v>73963.6176815374</v>
      </c>
      <c r="X75" s="47" t="n">
        <f aca="false">MAX(0,Assumptions!$C$32-X74)</f>
        <v>105438.212851881</v>
      </c>
      <c r="Y75" s="47" t="n">
        <f aca="false">MAX(0,Assumptions!$C$32-Y74)</f>
        <v>141969.189121375</v>
      </c>
    </row>
    <row r="76" customFormat="false" ht="15" hidden="false" customHeight="false" outlineLevel="0" collapsed="false">
      <c r="A76" s="33" t="s">
        <v>817</v>
      </c>
      <c r="C76" s="47" t="n">
        <f aca="false">C75-0</f>
        <v>7211.73439808605</v>
      </c>
      <c r="D76" s="47" t="n">
        <f aca="false">D75-C75</f>
        <v>37415.6682804722</v>
      </c>
      <c r="E76" s="47" t="n">
        <f aca="false">E75-D75</f>
        <v>42714.32700053</v>
      </c>
      <c r="F76" s="47" t="n">
        <f aca="false">F75-E75</f>
        <v>45362.9439873671</v>
      </c>
      <c r="G76" s="47" t="n">
        <f aca="false">G75-F75</f>
        <v>45779.4369173368</v>
      </c>
      <c r="I76" s="47" t="n">
        <f aca="false">I75-0</f>
        <v>11877.5680682052</v>
      </c>
      <c r="J76" s="47" t="n">
        <f aca="false">J75-I75</f>
        <v>38578.1606315915</v>
      </c>
      <c r="K76" s="47" t="n">
        <f aca="false">K75-J75</f>
        <v>39968.7018436408</v>
      </c>
      <c r="L76" s="47" t="n">
        <f aca="false">L75-K75</f>
        <v>37611.9857660899</v>
      </c>
      <c r="M76" s="47" t="n">
        <f aca="false">M75-L75</f>
        <v>25779.6584099614</v>
      </c>
      <c r="O76" s="47" t="n">
        <f aca="false">O75-0</f>
        <v>24107.5431405863</v>
      </c>
      <c r="P76" s="47" t="n">
        <f aca="false">P75-O75</f>
        <v>35030.5649451437</v>
      </c>
      <c r="Q76" s="47" t="n">
        <f aca="false">Q75-P75</f>
        <v>26465.6056344736</v>
      </c>
      <c r="R76" s="47" t="n">
        <f aca="false">R75-Q75</f>
        <v>9038.37387108705</v>
      </c>
      <c r="S76" s="47" t="n">
        <f aca="false">S75-R75</f>
        <v>-27139.7720178428</v>
      </c>
      <c r="U76" s="47" t="n">
        <f aca="false">U75-0</f>
        <v>26352.1299871037</v>
      </c>
      <c r="V76" s="47" t="n">
        <f aca="false">V75-U75</f>
        <v>41481.1860727619</v>
      </c>
      <c r="W76" s="47" t="n">
        <f aca="false">W75-V75</f>
        <v>6130.30162167182</v>
      </c>
      <c r="X76" s="47" t="n">
        <f aca="false">X75-W75</f>
        <v>31474.5951703434</v>
      </c>
      <c r="Y76" s="47" t="n">
        <f aca="false">Y75-X75</f>
        <v>36530.9762694947</v>
      </c>
    </row>
    <row r="77" customFormat="false" ht="15" hidden="false" customHeight="false" outlineLevel="0" collapsed="false">
      <c r="A77" s="34" t="s">
        <v>325</v>
      </c>
      <c r="C77" s="47" t="n">
        <f aca="false">C74+C75</f>
        <v>5000</v>
      </c>
      <c r="D77" s="47" t="n">
        <f aca="false">D74+D75</f>
        <v>5000</v>
      </c>
      <c r="E77" s="47" t="n">
        <f aca="false">E74+E75</f>
        <v>5000</v>
      </c>
      <c r="F77" s="47" t="n">
        <f aca="false">F74+F75</f>
        <v>5000</v>
      </c>
      <c r="G77" s="47" t="n">
        <f aca="false">G74+G75</f>
        <v>5000</v>
      </c>
      <c r="I77" s="47" t="n">
        <f aca="false">I74+I75</f>
        <v>5000</v>
      </c>
      <c r="J77" s="47" t="n">
        <f aca="false">J74+J75</f>
        <v>5000</v>
      </c>
      <c r="K77" s="47" t="n">
        <f aca="false">K74+K75</f>
        <v>5000</v>
      </c>
      <c r="L77" s="47" t="n">
        <f aca="false">L74+L75</f>
        <v>5000</v>
      </c>
      <c r="M77" s="47" t="n">
        <f aca="false">M74+M75</f>
        <v>5000</v>
      </c>
      <c r="O77" s="47" t="n">
        <f aca="false">O74+O75</f>
        <v>5000</v>
      </c>
      <c r="P77" s="47" t="n">
        <f aca="false">P74+P75</f>
        <v>5000</v>
      </c>
      <c r="Q77" s="47" t="n">
        <f aca="false">Q74+Q75</f>
        <v>5000</v>
      </c>
      <c r="R77" s="47" t="n">
        <f aca="false">R74+R75</f>
        <v>5000</v>
      </c>
      <c r="S77" s="47" t="n">
        <f aca="false">S74+S75</f>
        <v>5000.00000000001</v>
      </c>
      <c r="U77" s="47" t="n">
        <f aca="false">U74+U75</f>
        <v>5000</v>
      </c>
      <c r="V77" s="47" t="n">
        <f aca="false">V74+V75</f>
        <v>5000</v>
      </c>
      <c r="W77" s="47" t="n">
        <f aca="false">W74+W75</f>
        <v>5000</v>
      </c>
      <c r="X77" s="47" t="n">
        <f aca="false">X74+X75</f>
        <v>5000</v>
      </c>
      <c r="Y77" s="47" t="n">
        <f aca="false">Y74+Y75</f>
        <v>5000</v>
      </c>
    </row>
    <row r="79" customFormat="false" ht="15" hidden="false" customHeight="false" outlineLevel="0" collapsed="false">
      <c r="A79" s="23" t="s">
        <v>818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customFormat="false" ht="15" hidden="false" customHeight="false" outlineLevel="0" collapsed="false">
      <c r="A80" s="33" t="s">
        <v>819</v>
      </c>
      <c r="C80" s="47" t="n">
        <f aca="false">C77+C57+C59+C60+C61+C63+C46</f>
        <v>25963.1796035655</v>
      </c>
      <c r="D80" s="47" t="n">
        <f aca="false">D77+D57+D59+D60+D61+D63+D46</f>
        <v>30855.7195726696</v>
      </c>
      <c r="E80" s="47" t="n">
        <f aca="false">E77+E57+E59+E60+E61+E63+E46</f>
        <v>36914.6288874609</v>
      </c>
      <c r="F80" s="47" t="n">
        <f aca="false">F77+F57+F59+F60+F61+F63+F46</f>
        <v>39460.9159196435</v>
      </c>
      <c r="G80" s="47" t="n">
        <f aca="false">G77+G57+G59+G60+G61+G63+G46</f>
        <v>37494.5465739563</v>
      </c>
      <c r="I80" s="47" t="n">
        <f aca="false">I77+I57+I59+I60+I61+I63+I46</f>
        <v>34248.3899860134</v>
      </c>
      <c r="J80" s="47" t="n">
        <f aca="false">J77+J57+J59+J60+J61+J63+J46</f>
        <v>50661.131609094</v>
      </c>
      <c r="K80" s="47" t="n">
        <f aca="false">K77+K57+K59+K60+K61+K63+K46</f>
        <v>68046.2436254125</v>
      </c>
      <c r="L80" s="47" t="n">
        <f aca="false">L77+L57+L59+L60+L61+L63+L46</f>
        <v>81319.2632504266</v>
      </c>
      <c r="M80" s="47" t="n">
        <f aca="false">M77+M57+M59+M60+M61+M63+M46</f>
        <v>82402.1520707132</v>
      </c>
      <c r="O80" s="47" t="n">
        <f aca="false">O77+O57+O59+O60+O61+O63+O46</f>
        <v>44065.4472501753</v>
      </c>
      <c r="P80" s="47" t="n">
        <f aca="false">P77+P57+P59+P60+P61+P63+P46</f>
        <v>72662.6966747284</v>
      </c>
      <c r="Q80" s="47" t="n">
        <f aca="false">Q77+Q57+Q59+Q60+Q61+Q63+Q46</f>
        <v>104076.006933454</v>
      </c>
      <c r="R80" s="47" t="n">
        <f aca="false">R77+R57+R59+R60+R61+R63+R46</f>
        <v>132605.154125261</v>
      </c>
      <c r="S80" s="47" t="n">
        <f aca="false">S77+S57+S59+S60+S61+S63+S46</f>
        <v>139149.414854185</v>
      </c>
      <c r="U80" s="47" t="n">
        <f aca="false">U77+U57+U59+U60+U61+U63+U46</f>
        <v>43897.1162884735</v>
      </c>
      <c r="V80" s="47" t="n">
        <f aca="false">V77+V57+V59+V60+V61+V63+V46</f>
        <v>49187.7883737585</v>
      </c>
      <c r="W80" s="47" t="n">
        <f aca="false">W77+W57+W59+W60+W61+W63+W46</f>
        <v>16360.8019406393</v>
      </c>
      <c r="X80" s="47" t="n">
        <f aca="false">X77+X57+X59+X60+X61+X63+X46</f>
        <v>9400</v>
      </c>
      <c r="Y80" s="47" t="n">
        <f aca="false">Y77+Y57+Y59+Y60+Y61+Y63+Y46</f>
        <v>6200</v>
      </c>
    </row>
    <row r="81" customFormat="false" ht="15" hidden="false" customHeight="false" outlineLevel="0" collapsed="false">
      <c r="A81" s="33" t="s">
        <v>820</v>
      </c>
      <c r="C81" s="47" t="n">
        <f aca="false">C64+C66+C75</f>
        <v>9696.67960356551</v>
      </c>
      <c r="D81" s="47" t="n">
        <f aca="false">D64+D66+D75</f>
        <v>47489.9041503119</v>
      </c>
      <c r="E81" s="47" t="n">
        <f aca="false">E64+E66+E75</f>
        <v>90517.7764072667</v>
      </c>
      <c r="F81" s="47" t="n">
        <f aca="false">F64+F66+F75</f>
        <v>136402.210856538</v>
      </c>
      <c r="G81" s="47" t="n">
        <f aca="false">G64+G66+G75</f>
        <v>182557.576591943</v>
      </c>
      <c r="I81" s="47" t="n">
        <f aca="false">I64+I66+I75</f>
        <v>14038.3899860134</v>
      </c>
      <c r="J81" s="47" t="n">
        <f aca="false">J64+J66+J75</f>
        <v>54057.0801772109</v>
      </c>
      <c r="K81" s="47" t="n">
        <f aca="false">K64+K66+K75</f>
        <v>95287.0011083644</v>
      </c>
      <c r="L81" s="47" t="n">
        <f aca="false">L64+L66+L75</f>
        <v>134341.027879775</v>
      </c>
      <c r="M81" s="47" t="n">
        <f aca="false">M64+M66+M75</f>
        <v>161436.151952592</v>
      </c>
      <c r="O81" s="47" t="n">
        <f aca="false">O64+O66+O75</f>
        <v>26484.4472501753</v>
      </c>
      <c r="P81" s="47" t="n">
        <f aca="false">P64+P66+P75</f>
        <v>64754.2567356791</v>
      </c>
      <c r="Q81" s="47" t="n">
        <f aca="false">Q64+Q66+Q75</f>
        <v>93721.1466308795</v>
      </c>
      <c r="R81" s="47" t="n">
        <f aca="false">R64+R66+R75</f>
        <v>105967.921888811</v>
      </c>
      <c r="S81" s="47" t="n">
        <f aca="false">S64+S66+S75</f>
        <v>81897.318381101</v>
      </c>
      <c r="U81" s="47" t="n">
        <f aca="false">U64+U66+U75</f>
        <v>28945.1162884735</v>
      </c>
      <c r="V81" s="47" t="n">
        <f aca="false">V64+V66+V75</f>
        <v>71783.7689071428</v>
      </c>
      <c r="W81" s="47" t="n">
        <f aca="false">W64+W66+W75</f>
        <v>77489.5615548124</v>
      </c>
      <c r="X81" s="47" t="n">
        <f aca="false">X64+X66+X75</f>
        <v>107814.212851881</v>
      </c>
      <c r="Y81" s="47" t="n">
        <f aca="false">Y64+Y66+Y75</f>
        <v>144366.887751512</v>
      </c>
    </row>
    <row r="82" customFormat="false" ht="15" hidden="false" customHeight="false" outlineLevel="0" collapsed="false">
      <c r="A82" s="33" t="s">
        <v>337</v>
      </c>
      <c r="C82" s="47" t="n">
        <f aca="false">0+C54</f>
        <v>-33733.5</v>
      </c>
      <c r="D82" s="47" t="n">
        <f aca="false">C82+D54</f>
        <v>-66634.1845776423</v>
      </c>
      <c r="E82" s="47" t="n">
        <f aca="false">D82+E54</f>
        <v>-103603.147519806</v>
      </c>
      <c r="F82" s="47" t="n">
        <f aca="false">E82+F54</f>
        <v>-146941.294936895</v>
      </c>
      <c r="G82" s="47" t="n">
        <f aca="false">F82+G54</f>
        <v>-195063.030017987</v>
      </c>
      <c r="I82" s="47" t="n">
        <f aca="false">0+I54</f>
        <v>-29790</v>
      </c>
      <c r="J82" s="47" t="n">
        <f aca="false">I82+J54</f>
        <v>-53395.9485681168</v>
      </c>
      <c r="K82" s="47" t="n">
        <f aca="false">J82+K54</f>
        <v>-77240.7574829519</v>
      </c>
      <c r="L82" s="47" t="n">
        <f aca="false">K82+L54</f>
        <v>-103021.764629349</v>
      </c>
      <c r="M82" s="47" t="n">
        <f aca="false">L82+M54</f>
        <v>-129033.999881879</v>
      </c>
      <c r="O82" s="47" t="n">
        <f aca="false">0+O54</f>
        <v>-32419</v>
      </c>
      <c r="P82" s="47" t="n">
        <f aca="false">O82+P54</f>
        <v>-42091.5600609506</v>
      </c>
      <c r="Q82" s="47" t="n">
        <f aca="false">P82+Q54</f>
        <v>-39645.1396974254</v>
      </c>
      <c r="R82" s="47" t="n">
        <f aca="false">Q82+R54</f>
        <v>-23362.76776355</v>
      </c>
      <c r="S82" s="47" t="n">
        <f aca="false">R82+S54</f>
        <v>7252.09647308429</v>
      </c>
      <c r="U82" s="47" t="n">
        <f aca="false">0+U54</f>
        <v>-35048</v>
      </c>
      <c r="V82" s="47" t="n">
        <f aca="false">U82+V54</f>
        <v>-72595.9805333843</v>
      </c>
      <c r="W82" s="47" t="n">
        <f aca="false">V82+W54</f>
        <v>-111128.759614173</v>
      </c>
      <c r="X82" s="47" t="n">
        <f aca="false">W82+X54</f>
        <v>-148414.212851881</v>
      </c>
      <c r="Y82" s="47" t="n">
        <f aca="false">X82+Y54</f>
        <v>-188166.887751512</v>
      </c>
    </row>
    <row r="83" customFormat="false" ht="15" hidden="false" customHeight="false" outlineLevel="0" collapsed="false">
      <c r="A83" s="33" t="s">
        <v>821</v>
      </c>
      <c r="C83" s="47" t="n">
        <f aca="false">Assumptions!$C$9+C82</f>
        <v>16266.5</v>
      </c>
      <c r="D83" s="47" t="n">
        <f aca="false">Assumptions!$C$9+D82</f>
        <v>-16634.1845776423</v>
      </c>
      <c r="E83" s="47" t="n">
        <f aca="false">Assumptions!$C$9+E82</f>
        <v>-53603.1475198058</v>
      </c>
      <c r="F83" s="47" t="n">
        <f aca="false">Assumptions!$C$9+F82</f>
        <v>-96941.2949368945</v>
      </c>
      <c r="G83" s="47" t="n">
        <f aca="false">Assumptions!$C$9+G82</f>
        <v>-145063.030017987</v>
      </c>
      <c r="I83" s="47" t="n">
        <f aca="false">Assumptions!$C$9+I82</f>
        <v>20210</v>
      </c>
      <c r="J83" s="47" t="n">
        <f aca="false">Assumptions!$C$9+J82</f>
        <v>-3395.94856811682</v>
      </c>
      <c r="K83" s="47" t="n">
        <f aca="false">Assumptions!$C$9+K82</f>
        <v>-27240.7574829519</v>
      </c>
      <c r="L83" s="47" t="n">
        <f aca="false">Assumptions!$C$9+L82</f>
        <v>-53021.7646293487</v>
      </c>
      <c r="M83" s="47" t="n">
        <f aca="false">Assumptions!$C$9+M82</f>
        <v>-79033.9998818786</v>
      </c>
      <c r="O83" s="47" t="n">
        <f aca="false">Assumptions!$C$9+O82</f>
        <v>17581</v>
      </c>
      <c r="P83" s="47" t="n">
        <f aca="false">Assumptions!$C$9+P82</f>
        <v>7908.43993904936</v>
      </c>
      <c r="Q83" s="47" t="n">
        <f aca="false">Assumptions!$C$9+Q82</f>
        <v>10354.8603025746</v>
      </c>
      <c r="R83" s="47" t="n">
        <f aca="false">Assumptions!$C$9+R82</f>
        <v>26637.23223645</v>
      </c>
      <c r="S83" s="47" t="n">
        <f aca="false">Assumptions!$C$9+S82</f>
        <v>57252.0964730843</v>
      </c>
      <c r="U83" s="47" t="n">
        <f aca="false">Assumptions!$C$9+U82</f>
        <v>14952</v>
      </c>
      <c r="V83" s="47" t="n">
        <f aca="false">Assumptions!$C$9+V82</f>
        <v>-22595.9805333843</v>
      </c>
      <c r="W83" s="47" t="n">
        <f aca="false">Assumptions!$C$9+W82</f>
        <v>-61128.7596141732</v>
      </c>
      <c r="X83" s="47" t="n">
        <f aca="false">Assumptions!$C$9+X82</f>
        <v>-98414.2128518808</v>
      </c>
      <c r="Y83" s="47" t="n">
        <f aca="false">Assumptions!$C$9+Y82</f>
        <v>-138166.887751512</v>
      </c>
    </row>
    <row r="84" customFormat="false" ht="15" hidden="false" customHeight="false" outlineLevel="0" collapsed="false">
      <c r="A84" s="34" t="s">
        <v>822</v>
      </c>
      <c r="C84" s="48" t="n">
        <f aca="false">ROUND(C80-C81-C83,2)</f>
        <v>0</v>
      </c>
      <c r="D84" s="48" t="n">
        <f aca="false">ROUND(D80-D81-D83,2)</f>
        <v>0</v>
      </c>
      <c r="E84" s="48" t="n">
        <f aca="false">ROUND(E80-E81-E83,2)</f>
        <v>0</v>
      </c>
      <c r="F84" s="48" t="n">
        <f aca="false">ROUND(F80-F81-F83,2)</f>
        <v>0</v>
      </c>
      <c r="G84" s="48" t="n">
        <f aca="false">ROUND(G80-G81-G83,2)</f>
        <v>0</v>
      </c>
      <c r="I84" s="48" t="n">
        <f aca="false">ROUND(I80-I81-I83,2)</f>
        <v>0</v>
      </c>
      <c r="J84" s="48" t="n">
        <f aca="false">ROUND(J80-J81-J83,2)</f>
        <v>0</v>
      </c>
      <c r="K84" s="48" t="n">
        <f aca="false">ROUND(K80-K81-K83,2)</f>
        <v>0</v>
      </c>
      <c r="L84" s="48" t="n">
        <f aca="false">ROUND(L80-L81-L83,2)</f>
        <v>0</v>
      </c>
      <c r="M84" s="48" t="n">
        <f aca="false">ROUND(M80-M81-M83,2)</f>
        <v>0</v>
      </c>
      <c r="O84" s="48" t="n">
        <f aca="false">ROUND(O80-O81-O83,2)</f>
        <v>0</v>
      </c>
      <c r="P84" s="48" t="n">
        <f aca="false">ROUND(P80-P81-P83,2)</f>
        <v>0</v>
      </c>
      <c r="Q84" s="48" t="n">
        <f aca="false">ROUND(Q80-Q81-Q83,2)</f>
        <v>0</v>
      </c>
      <c r="R84" s="48" t="n">
        <f aca="false">ROUND(R80-R81-R83,2)</f>
        <v>0</v>
      </c>
      <c r="S84" s="48" t="n">
        <f aca="false">ROUND(S80-S81-S83,2)</f>
        <v>0</v>
      </c>
      <c r="U84" s="48" t="n">
        <f aca="false">ROUND(U80-U81-U83,2)</f>
        <v>0</v>
      </c>
      <c r="V84" s="48" t="n">
        <f aca="false">ROUND(V80-V81-V83,2)</f>
        <v>0</v>
      </c>
      <c r="W84" s="48" t="n">
        <f aca="false">ROUND(W80-W81-W83,2)</f>
        <v>0</v>
      </c>
      <c r="X84" s="48" t="n">
        <f aca="false">ROUND(X80-X81-X83,2)</f>
        <v>0</v>
      </c>
      <c r="Y84" s="48" t="n">
        <f aca="false">ROUND(Y80-Y81-Y83,2)</f>
        <v>0</v>
      </c>
    </row>
    <row r="86" customFormat="false" ht="15" hidden="false" customHeight="false" outlineLevel="0" collapsed="false">
      <c r="A86" s="23" t="s">
        <v>823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customFormat="false" ht="15" hidden="false" customHeight="false" outlineLevel="0" collapsed="false">
      <c r="A87" s="34" t="s">
        <v>824</v>
      </c>
      <c r="C87" s="47" t="n">
        <f aca="false">C41-C53-C68-C42</f>
        <v>-52211.734398086</v>
      </c>
      <c r="D87" s="47" t="n">
        <f aca="false">D41-D53-D68-D42</f>
        <v>-36910.8468726062</v>
      </c>
      <c r="E87" s="47" t="n">
        <f aca="false">E41-E53-E68-E42</f>
        <v>-39590.4088130309</v>
      </c>
      <c r="F87" s="47" t="n">
        <f aca="false">F41-F53-F68-F42</f>
        <v>-39249.0229098309</v>
      </c>
      <c r="G87" s="47" t="n">
        <f aca="false">G41-G53-G68-G42</f>
        <v>-36490.1097606849</v>
      </c>
      <c r="I87" s="47" t="n">
        <f aca="false">I41-I53-I68-I42</f>
        <v>-56877.5680682052</v>
      </c>
      <c r="J87" s="47" t="n">
        <f aca="false">J41-J53-J68-J42</f>
        <v>-37746.7308668171</v>
      </c>
      <c r="K87" s="47" t="n">
        <f aca="false">K41-K53-K68-K42</f>
        <v>-36436.800834655</v>
      </c>
      <c r="L87" s="47" t="n">
        <f aca="false">L41-L53-L68-L42</f>
        <v>-31282.2756280493</v>
      </c>
      <c r="M87" s="47" t="n">
        <f aca="false">M41-M53-M68-M42</f>
        <v>-16817.1092682945</v>
      </c>
      <c r="O87" s="47" t="n">
        <f aca="false">O41-O53-O68-O42</f>
        <v>-69107.5431405863</v>
      </c>
      <c r="P87" s="47" t="n">
        <f aca="false">P41-P53-P68-P42</f>
        <v>-33343.0369253027</v>
      </c>
      <c r="Q87" s="47" t="n">
        <f aca="false">Q41-Q53-Q68-Q42</f>
        <v>-22325.9380684725</v>
      </c>
      <c r="R87" s="47" t="n">
        <f aca="false">R41-R53-R68-R42</f>
        <v>-3046.1139106728</v>
      </c>
      <c r="S87" s="47" t="n">
        <f aca="false">S41-S53-S68-S42</f>
        <v>33764.7181492331</v>
      </c>
      <c r="U87" s="47" t="n">
        <f aca="false">U41-U53-U68-U42</f>
        <v>-71352.1299871037</v>
      </c>
      <c r="V87" s="47" t="n">
        <f aca="false">V41-V53-V68-V42</f>
        <v>-39636.5369736646</v>
      </c>
      <c r="W87" s="47" t="n">
        <f aca="false">W41-W53-W68-W42</f>
        <v>-1381.96949748124</v>
      </c>
      <c r="X87" s="47" t="n">
        <f aca="false">X41-X53-X68-X42</f>
        <v>-26297.1419326358</v>
      </c>
      <c r="Y87" s="47" t="n">
        <f aca="false">Y41-Y53-Y68-Y42</f>
        <v>-29150.301369863</v>
      </c>
    </row>
    <row r="88" customFormat="false" ht="15" hidden="false" customHeight="false" outlineLevel="0" collapsed="false">
      <c r="A88" s="33" t="s">
        <v>328</v>
      </c>
      <c r="C88" s="47" t="n">
        <f aca="false">0+C87</f>
        <v>-52211.734398086</v>
      </c>
      <c r="D88" s="47" t="n">
        <f aca="false">C88+D87</f>
        <v>-89122.5812706922</v>
      </c>
      <c r="E88" s="47" t="n">
        <f aca="false">D88+E87</f>
        <v>-128712.990083723</v>
      </c>
      <c r="F88" s="47" t="n">
        <f aca="false">E88+F87</f>
        <v>-167962.012993554</v>
      </c>
      <c r="G88" s="47" t="n">
        <f aca="false">F88+G87</f>
        <v>-204452.122754239</v>
      </c>
      <c r="I88" s="47" t="n">
        <f aca="false">0+I87</f>
        <v>-56877.5680682052</v>
      </c>
      <c r="J88" s="47" t="n">
        <f aca="false">I88+J87</f>
        <v>-94624.2989350223</v>
      </c>
      <c r="K88" s="47" t="n">
        <f aca="false">J88+K87</f>
        <v>-131061.099769677</v>
      </c>
      <c r="L88" s="47" t="n">
        <f aca="false">K88+L87</f>
        <v>-162343.375397727</v>
      </c>
      <c r="M88" s="47" t="n">
        <f aca="false">L88+M87</f>
        <v>-179160.484666021</v>
      </c>
      <c r="O88" s="47" t="n">
        <f aca="false">0+O87</f>
        <v>-69107.5431405863</v>
      </c>
      <c r="P88" s="47" t="n">
        <f aca="false">O88+P87</f>
        <v>-102450.580065889</v>
      </c>
      <c r="Q88" s="47" t="n">
        <f aca="false">P88+Q87</f>
        <v>-124776.518134361</v>
      </c>
      <c r="R88" s="47" t="n">
        <f aca="false">Q88+R87</f>
        <v>-127822.632045034</v>
      </c>
      <c r="S88" s="47" t="n">
        <f aca="false">R88+S87</f>
        <v>-94057.9138958011</v>
      </c>
      <c r="U88" s="47" t="n">
        <f aca="false">0+U87</f>
        <v>-71352.1299871037</v>
      </c>
      <c r="V88" s="47" t="n">
        <f aca="false">U88+V87</f>
        <v>-110988.666960768</v>
      </c>
      <c r="W88" s="47" t="n">
        <f aca="false">V88+W87</f>
        <v>-112370.63645825</v>
      </c>
      <c r="X88" s="47" t="n">
        <f aca="false">W88+X87</f>
        <v>-138667.778390885</v>
      </c>
      <c r="Y88" s="47" t="n">
        <f aca="false">X88+Y87</f>
        <v>-167818.079760748</v>
      </c>
    </row>
    <row r="89" customFormat="false" ht="15" hidden="false" customHeight="false" outlineLevel="0" collapsed="false">
      <c r="A89" s="33" t="s">
        <v>825</v>
      </c>
      <c r="C89" s="47" t="n">
        <f aca="false">IF(0=4,MAX(0,C41)*Assumptions!$C$35,0)</f>
        <v>0</v>
      </c>
      <c r="D89" s="47" t="n">
        <f aca="false">IF(1=4,MAX(0,D41)*Assumptions!$C$35,0)</f>
        <v>0</v>
      </c>
      <c r="E89" s="47" t="n">
        <f aca="false">IF(2=4,MAX(0,E41)*Assumptions!$C$35,0)</f>
        <v>0</v>
      </c>
      <c r="F89" s="47" t="n">
        <f aca="false">IF(3=4,MAX(0,F41)*Assumptions!$C$35,0)</f>
        <v>0</v>
      </c>
      <c r="G89" s="47" t="n">
        <f aca="false">IF(4=4,MAX(0,G41)*Assumptions!$C$35,0)</f>
        <v>0</v>
      </c>
      <c r="I89" s="47" t="n">
        <f aca="false">IF(0=4,MAX(0,I41)*Assumptions!$C$35,0)</f>
        <v>0</v>
      </c>
      <c r="J89" s="47" t="n">
        <f aca="false">IF(1=4,MAX(0,J41)*Assumptions!$C$35,0)</f>
        <v>0</v>
      </c>
      <c r="K89" s="47" t="n">
        <f aca="false">IF(2=4,MAX(0,K41)*Assumptions!$C$35,0)</f>
        <v>0</v>
      </c>
      <c r="L89" s="47" t="n">
        <f aca="false">IF(3=4,MAX(0,L41)*Assumptions!$C$35,0)</f>
        <v>0</v>
      </c>
      <c r="M89" s="47" t="n">
        <f aca="false">IF(4=4,MAX(0,M41)*Assumptions!$C$35,0)</f>
        <v>0</v>
      </c>
      <c r="O89" s="47" t="n">
        <f aca="false">IF(0=4,MAX(0,O41)*Assumptions!$C$35,0)</f>
        <v>0</v>
      </c>
      <c r="P89" s="47" t="n">
        <f aca="false">IF(1=4,MAX(0,P41)*Assumptions!$C$35,0)</f>
        <v>0</v>
      </c>
      <c r="Q89" s="47" t="n">
        <f aca="false">IF(2=4,MAX(0,Q41)*Assumptions!$C$35,0)</f>
        <v>0</v>
      </c>
      <c r="R89" s="47" t="n">
        <f aca="false">IF(3=4,MAX(0,R41)*Assumptions!$C$35,0)</f>
        <v>0</v>
      </c>
      <c r="S89" s="47" t="n">
        <f aca="false">IF(4=4,MAX(0,S41)*Assumptions!$C$35,0)</f>
        <v>214285.879295264</v>
      </c>
      <c r="U89" s="47" t="n">
        <f aca="false">IF(0=4,MAX(0,U41)*Assumptions!$C$35,0)</f>
        <v>0</v>
      </c>
      <c r="V89" s="47" t="n">
        <f aca="false">IF(1=4,MAX(0,V41)*Assumptions!$C$35,0)</f>
        <v>0</v>
      </c>
      <c r="W89" s="47" t="n">
        <f aca="false">IF(2=4,MAX(0,W41)*Assumptions!$C$35,0)</f>
        <v>0</v>
      </c>
      <c r="X89" s="47" t="n">
        <f aca="false">IF(3=4,MAX(0,X41)*Assumptions!$C$35,0)</f>
        <v>0</v>
      </c>
      <c r="Y89" s="47" t="n">
        <f aca="false">IF(4=4,MAX(0,Y41)*Assumptions!$C$35,0)</f>
        <v>0</v>
      </c>
    </row>
    <row r="90" customFormat="false" ht="15" hidden="false" customHeight="false" outlineLevel="0" collapsed="false">
      <c r="A90" s="33" t="s">
        <v>437</v>
      </c>
      <c r="C90" s="47" t="n">
        <f aca="false">C87+C89</f>
        <v>-52211.734398086</v>
      </c>
      <c r="D90" s="47" t="n">
        <f aca="false">D87+D89</f>
        <v>-36910.8468726062</v>
      </c>
      <c r="E90" s="47" t="n">
        <f aca="false">E87+E89</f>
        <v>-39590.4088130309</v>
      </c>
      <c r="F90" s="47" t="n">
        <f aca="false">F87+F89</f>
        <v>-39249.0229098309</v>
      </c>
      <c r="G90" s="47" t="n">
        <f aca="false">G87+G89</f>
        <v>-36490.1097606849</v>
      </c>
      <c r="I90" s="47" t="n">
        <f aca="false">I87+I89</f>
        <v>-56877.5680682052</v>
      </c>
      <c r="J90" s="47" t="n">
        <f aca="false">J87+J89</f>
        <v>-37746.7308668171</v>
      </c>
      <c r="K90" s="47" t="n">
        <f aca="false">K87+K89</f>
        <v>-36436.800834655</v>
      </c>
      <c r="L90" s="47" t="n">
        <f aca="false">L87+L89</f>
        <v>-31282.2756280493</v>
      </c>
      <c r="M90" s="47" t="n">
        <f aca="false">M87+M89</f>
        <v>-16817.1092682945</v>
      </c>
      <c r="O90" s="47" t="n">
        <f aca="false">O87+O89</f>
        <v>-69107.5431405863</v>
      </c>
      <c r="P90" s="47" t="n">
        <f aca="false">P87+P89</f>
        <v>-33343.0369253027</v>
      </c>
      <c r="Q90" s="47" t="n">
        <f aca="false">Q87+Q89</f>
        <v>-22325.9380684725</v>
      </c>
      <c r="R90" s="47" t="n">
        <f aca="false">R87+R89</f>
        <v>-3046.1139106728</v>
      </c>
      <c r="S90" s="47" t="n">
        <f aca="false">S87+S89</f>
        <v>248050.597444497</v>
      </c>
      <c r="U90" s="47" t="n">
        <f aca="false">U87+U89</f>
        <v>-71352.1299871037</v>
      </c>
      <c r="V90" s="47" t="n">
        <f aca="false">V87+V89</f>
        <v>-39636.5369736646</v>
      </c>
      <c r="W90" s="47" t="n">
        <f aca="false">W87+W89</f>
        <v>-1381.96949748124</v>
      </c>
      <c r="X90" s="47" t="n">
        <f aca="false">X87+X89</f>
        <v>-26297.1419326358</v>
      </c>
      <c r="Y90" s="47" t="n">
        <f aca="false">Y87+Y89</f>
        <v>-29150.301369863</v>
      </c>
    </row>
    <row r="91" customFormat="false" ht="15" hidden="false" customHeight="false" outlineLevel="0" collapsed="false">
      <c r="A91" s="33" t="s">
        <v>826</v>
      </c>
      <c r="C91" s="49" t="n">
        <f aca="false">1/(1+Assumptions!$C$34)^(0+1)</f>
        <v>0.847457627118644</v>
      </c>
      <c r="D91" s="49" t="n">
        <f aca="false">1/(1+Assumptions!$C$34)^(1+1)</f>
        <v>0.718184429761563</v>
      </c>
      <c r="E91" s="49" t="n">
        <f aca="false">1/(1+Assumptions!$C$34)^(2+1)</f>
        <v>0.608630872679291</v>
      </c>
      <c r="F91" s="49" t="n">
        <f aca="false">1/(1+Assumptions!$C$34)^(3+1)</f>
        <v>0.515788875151941</v>
      </c>
      <c r="G91" s="49" t="n">
        <f aca="false">1/(1+Assumptions!$C$34)^(4+1)</f>
        <v>0.437109216230459</v>
      </c>
      <c r="I91" s="49" t="n">
        <f aca="false">1/(1+Assumptions!$C$34)^(0+1)</f>
        <v>0.847457627118644</v>
      </c>
      <c r="J91" s="49" t="n">
        <f aca="false">1/(1+Assumptions!$C$34)^(1+1)</f>
        <v>0.718184429761563</v>
      </c>
      <c r="K91" s="49" t="n">
        <f aca="false">1/(1+Assumptions!$C$34)^(2+1)</f>
        <v>0.608630872679291</v>
      </c>
      <c r="L91" s="49" t="n">
        <f aca="false">1/(1+Assumptions!$C$34)^(3+1)</f>
        <v>0.515788875151941</v>
      </c>
      <c r="M91" s="49" t="n">
        <f aca="false">1/(1+Assumptions!$C$34)^(4+1)</f>
        <v>0.437109216230459</v>
      </c>
      <c r="O91" s="49" t="n">
        <f aca="false">1/(1+Assumptions!$C$34)^(0+1)</f>
        <v>0.847457627118644</v>
      </c>
      <c r="P91" s="49" t="n">
        <f aca="false">1/(1+Assumptions!$C$34)^(1+1)</f>
        <v>0.718184429761563</v>
      </c>
      <c r="Q91" s="49" t="n">
        <f aca="false">1/(1+Assumptions!$C$34)^(2+1)</f>
        <v>0.608630872679291</v>
      </c>
      <c r="R91" s="49" t="n">
        <f aca="false">1/(1+Assumptions!$C$34)^(3+1)</f>
        <v>0.515788875151941</v>
      </c>
      <c r="S91" s="49" t="n">
        <f aca="false">1/(1+Assumptions!$C$34)^(4+1)</f>
        <v>0.437109216230459</v>
      </c>
      <c r="U91" s="49" t="n">
        <f aca="false">1/(1+Assumptions!$C$34)^(0+1)</f>
        <v>0.847457627118644</v>
      </c>
      <c r="V91" s="49" t="n">
        <f aca="false">1/(1+Assumptions!$C$34)^(1+1)</f>
        <v>0.718184429761563</v>
      </c>
      <c r="W91" s="49" t="n">
        <f aca="false">1/(1+Assumptions!$C$34)^(2+1)</f>
        <v>0.608630872679291</v>
      </c>
      <c r="X91" s="49" t="n">
        <f aca="false">1/(1+Assumptions!$C$34)^(3+1)</f>
        <v>0.515788875151941</v>
      </c>
      <c r="Y91" s="49" t="n">
        <f aca="false">1/(1+Assumptions!$C$34)^(4+1)</f>
        <v>0.437109216230459</v>
      </c>
    </row>
    <row r="92" customFormat="false" ht="15" hidden="false" customHeight="false" outlineLevel="0" collapsed="false">
      <c r="A92" s="33" t="s">
        <v>439</v>
      </c>
      <c r="C92" s="47" t="n">
        <f aca="false">C90*C91</f>
        <v>-44247.2325407509</v>
      </c>
      <c r="D92" s="47" t="n">
        <f aca="false">D90*D91</f>
        <v>-26508.795513219</v>
      </c>
      <c r="E92" s="47" t="n">
        <f aca="false">E90*E91</f>
        <v>-24095.9450656049</v>
      </c>
      <c r="F92" s="47" t="n">
        <f aca="false">F90*F91</f>
        <v>-20244.2093774744</v>
      </c>
      <c r="G92" s="47" t="n">
        <f aca="false">G90*G91</f>
        <v>-15950.1632776564</v>
      </c>
      <c r="I92" s="47" t="n">
        <f aca="false">I90*I91</f>
        <v>-48201.3288713603</v>
      </c>
      <c r="J92" s="47" t="n">
        <f aca="false">J90*J91</f>
        <v>-27109.1143829482</v>
      </c>
      <c r="K92" s="47" t="n">
        <f aca="false">K90*K91</f>
        <v>-22176.5618896376</v>
      </c>
      <c r="L92" s="47" t="n">
        <f aca="false">L90*L91</f>
        <v>-16135.0497583845</v>
      </c>
      <c r="M92" s="47" t="n">
        <f aca="false">M90*M91</f>
        <v>-7350.91345152617</v>
      </c>
      <c r="O92" s="47" t="n">
        <f aca="false">O90*O91</f>
        <v>-58565.7145259206</v>
      </c>
      <c r="P92" s="47" t="n">
        <f aca="false">P90*P91</f>
        <v>-23946.4499607172</v>
      </c>
      <c r="Q92" s="47" t="n">
        <f aca="false">Q90*Q91</f>
        <v>-13588.2551699982</v>
      </c>
      <c r="R92" s="47" t="n">
        <f aca="false">R90*R91</f>
        <v>-1571.1516675706</v>
      </c>
      <c r="S92" s="47" t="n">
        <f aca="false">S90*S91</f>
        <v>108425.202234461</v>
      </c>
      <c r="U92" s="47" t="n">
        <f aca="false">U90*U91</f>
        <v>-60467.9067687319</v>
      </c>
      <c r="V92" s="47" t="n">
        <f aca="false">V90*V91</f>
        <v>-28466.3437041544</v>
      </c>
      <c r="W92" s="47" t="n">
        <f aca="false">W90*W91</f>
        <v>-841.109301268166</v>
      </c>
      <c r="X92" s="47" t="n">
        <f aca="false">X90*X91</f>
        <v>-13563.7732571452</v>
      </c>
      <c r="Y92" s="47" t="n">
        <f aca="false">Y90*Y91</f>
        <v>-12741.8653846625</v>
      </c>
    </row>
    <row r="93" customFormat="false" ht="15" hidden="false" customHeight="false" outlineLevel="0" collapsed="false">
      <c r="A93" s="33" t="s">
        <v>827</v>
      </c>
      <c r="C93" s="43" t="str">
        <f aca="false">IF(AND(C88&gt;=0,-1&lt;0),C7,"")</f>
        <v/>
      </c>
      <c r="D93" s="43" t="str">
        <f aca="false">IF(AND(D88&gt;=0,C88&lt;0),D7,"")</f>
        <v/>
      </c>
      <c r="E93" s="43" t="str">
        <f aca="false">IF(AND(E88&gt;=0,D88&lt;0),E7,"")</f>
        <v/>
      </c>
      <c r="F93" s="43" t="str">
        <f aca="false">IF(AND(F88&gt;=0,E88&lt;0),F7,"")</f>
        <v/>
      </c>
      <c r="G93" s="43" t="str">
        <f aca="false">IF(AND(G88&gt;=0,F88&lt;0),G7,"")</f>
        <v/>
      </c>
      <c r="I93" s="43" t="str">
        <f aca="false">IF(AND(I88&gt;=0,-1&lt;0),I7,"")</f>
        <v/>
      </c>
      <c r="J93" s="43" t="str">
        <f aca="false">IF(AND(J88&gt;=0,I88&lt;0),J7,"")</f>
        <v/>
      </c>
      <c r="K93" s="43" t="str">
        <f aca="false">IF(AND(K88&gt;=0,J88&lt;0),K7,"")</f>
        <v/>
      </c>
      <c r="L93" s="43" t="str">
        <f aca="false">IF(AND(L88&gt;=0,K88&lt;0),L7,"")</f>
        <v/>
      </c>
      <c r="M93" s="43" t="str">
        <f aca="false">IF(AND(M88&gt;=0,L88&lt;0),M7,"")</f>
        <v/>
      </c>
      <c r="O93" s="43" t="str">
        <f aca="false">IF(AND(O88&gt;=0,-1&lt;0),O7,"")</f>
        <v/>
      </c>
      <c r="P93" s="43" t="str">
        <f aca="false">IF(AND(P88&gt;=0,O88&lt;0),P7,"")</f>
        <v/>
      </c>
      <c r="Q93" s="43" t="str">
        <f aca="false">IF(AND(Q88&gt;=0,P88&lt;0),Q7,"")</f>
        <v/>
      </c>
      <c r="R93" s="43" t="str">
        <f aca="false">IF(AND(R88&gt;=0,Q88&lt;0),R7,"")</f>
        <v/>
      </c>
      <c r="S93" s="43" t="str">
        <f aca="false">IF(AND(S88&gt;=0,R88&lt;0),S7,"")</f>
        <v/>
      </c>
      <c r="U93" s="43" t="str">
        <f aca="false">IF(AND(U88&gt;=0,-1&lt;0),U7,"")</f>
        <v/>
      </c>
      <c r="V93" s="43" t="str">
        <f aca="false">IF(AND(V88&gt;=0,U88&lt;0),V7,"")</f>
        <v/>
      </c>
      <c r="W93" s="43" t="str">
        <f aca="false">IF(AND(W88&gt;=0,V88&lt;0),W7,"")</f>
        <v/>
      </c>
      <c r="X93" s="43" t="str">
        <f aca="false">IF(AND(X88&gt;=0,W88&lt;0),X7,"")</f>
        <v/>
      </c>
      <c r="Y93" s="43" t="str">
        <f aca="false">IF(AND(Y88&gt;=0,X88&lt;0),Y7,"")</f>
        <v/>
      </c>
    </row>
    <row r="94" customFormat="false" ht="15" hidden="false" customHeight="false" outlineLevel="0" collapsed="false">
      <c r="A94" s="33" t="s">
        <v>828</v>
      </c>
      <c r="C94" s="47" t="n">
        <f aca="false">C47*(1-Assumptions!$C$30)</f>
        <v>-25300.125</v>
      </c>
      <c r="D94" s="47" t="n">
        <f aca="false">D47*(1-Assumptions!$C$30)</f>
        <v>-24296.8973773322</v>
      </c>
      <c r="E94" s="47" t="n">
        <f aca="false">E47*(1-Assumptions!$C$30)</f>
        <v>-25383.7835659983</v>
      </c>
      <c r="F94" s="47" t="n">
        <f aca="false">F47*(1-Assumptions!$C$30)</f>
        <v>-27918.1697546644</v>
      </c>
      <c r="G94" s="47" t="n">
        <f aca="false">G47*(1-Assumptions!$C$30)</f>
        <v>-29124.3059433305</v>
      </c>
      <c r="I94" s="47" t="n">
        <f aca="false">I47*(1-Assumptions!$C$30)</f>
        <v>-22342.5</v>
      </c>
      <c r="J94" s="47" t="n">
        <f aca="false">J47*(1-Assumptions!$C$30)</f>
        <v>-17080.8891025068</v>
      </c>
      <c r="K94" s="47" t="n">
        <f aca="false">K47*(1-Assumptions!$C$30)</f>
        <v>-15234.680929387</v>
      </c>
      <c r="L94" s="47" t="n">
        <f aca="false">L47*(1-Assumptions!$C$30)</f>
        <v>-14588.4727562671</v>
      </c>
      <c r="M94" s="47" t="n">
        <f aca="false">M47*(1-Assumptions!$C$30)</f>
        <v>-12787.2645831472</v>
      </c>
      <c r="O94" s="47" t="n">
        <f aca="false">O47*(1-Assumptions!$C$30)</f>
        <v>-24314.25</v>
      </c>
      <c r="P94" s="47" t="n">
        <f aca="false">P47*(1-Assumptions!$C$30)</f>
        <v>-5988.7740308322</v>
      </c>
      <c r="Q94" s="47" t="n">
        <f aca="false">Q47*(1-Assumptions!$C$30)</f>
        <v>4939.56594714478</v>
      </c>
      <c r="R94" s="47" t="n">
        <f aca="false">R47*(1-Assumptions!$C$30)</f>
        <v>16705.9739207172</v>
      </c>
      <c r="S94" s="47" t="n">
        <f aca="false">S47*(1-Assumptions!$C$30)</f>
        <v>29742.8818942896</v>
      </c>
      <c r="U94" s="47" t="n">
        <f aca="false">U47*(1-Assumptions!$C$30)</f>
        <v>-26286</v>
      </c>
      <c r="V94" s="47" t="n">
        <f aca="false">V47*(1-Assumptions!$C$30)</f>
        <v>-26777.4985757153</v>
      </c>
      <c r="W94" s="47" t="n">
        <f aca="false">W47*(1-Assumptions!$C$30)</f>
        <v>-25338.3352174487</v>
      </c>
      <c r="X94" s="47" t="n">
        <f aca="false">X47*(1-Assumptions!$C$30)</f>
        <v>-24081</v>
      </c>
      <c r="Y94" s="47" t="n">
        <f aca="false">Y47*(1-Assumptions!$C$30)</f>
        <v>-24279</v>
      </c>
    </row>
    <row r="95" customFormat="false" ht="15" hidden="false" customHeight="false" outlineLevel="0" collapsed="false">
      <c r="A95" s="33" t="s">
        <v>829</v>
      </c>
      <c r="C95" s="47" t="n">
        <f aca="false">C67+C46</f>
        <v>18478.2343980861</v>
      </c>
      <c r="D95" s="47" t="n">
        <f aca="false">D67+D46</f>
        <v>22993.218100916</v>
      </c>
      <c r="E95" s="47" t="n">
        <f aca="false">E67+E46</f>
        <v>28738.5821592825</v>
      </c>
      <c r="F95" s="47" t="n">
        <f aca="false">F67+F46</f>
        <v>30763.3787295608</v>
      </c>
      <c r="G95" s="47" t="n">
        <f aca="false">G67+G46</f>
        <v>28421.0805658051</v>
      </c>
      <c r="I95" s="47" t="n">
        <f aca="false">I67+I46</f>
        <v>27087.5680682052</v>
      </c>
      <c r="J95" s="47" t="n">
        <f aca="false">J67+J46</f>
        <v>42059.7801316798</v>
      </c>
      <c r="K95" s="47" t="n">
        <f aca="false">K67+K46</f>
        <v>58183.6730604855</v>
      </c>
      <c r="L95" s="47" t="n">
        <f aca="false">L67+L46</f>
        <v>70014.6516801786</v>
      </c>
      <c r="M95" s="47" t="n">
        <f aca="false">M67+M46</f>
        <v>69782.0748376101</v>
      </c>
      <c r="O95" s="47" t="n">
        <f aca="false">O67+O46</f>
        <v>36688.5431405863</v>
      </c>
      <c r="P95" s="47" t="n">
        <f aca="false">P67+P46</f>
        <v>62046.5480247794</v>
      </c>
      <c r="Q95" s="47" t="n">
        <f aca="false">Q67+Q46</f>
        <v>90958.5740227782</v>
      </c>
      <c r="R95" s="47" t="n">
        <f aca="false">R67+R46</f>
        <v>116279.319827741</v>
      </c>
      <c r="S95" s="47" t="n">
        <f aca="false">S67+S46</f>
        <v>119754.412046532</v>
      </c>
      <c r="U95" s="47" t="n">
        <f aca="false">U67+U46</f>
        <v>36304.1299871037</v>
      </c>
      <c r="V95" s="47" t="n">
        <f aca="false">V67+V46</f>
        <v>40237.3355264812</v>
      </c>
      <c r="W95" s="47" t="n">
        <f aca="false">W67+W46</f>
        <v>7834.85806736418</v>
      </c>
      <c r="X95" s="47" t="n">
        <f aca="false">X67+X46</f>
        <v>2024</v>
      </c>
      <c r="Y95" s="47" t="n">
        <f aca="false">Y67+Y46</f>
        <v>-1197.69863013699</v>
      </c>
    </row>
    <row r="96" customFormat="false" ht="15" hidden="false" customHeight="false" outlineLevel="0" collapsed="false">
      <c r="A96" s="33" t="s">
        <v>830</v>
      </c>
      <c r="C96" s="50" t="n">
        <f aca="false">IF((C95+0)/2&gt;1000,C94/((C95+0)/2),"n/a")</f>
        <v>-2.73837039350692</v>
      </c>
      <c r="D96" s="50" t="n">
        <f aca="false">IF((D95+C95)/2&gt;1000,D94/((D95+C95)/2),"n/a")</f>
        <v>-1.17174084403805</v>
      </c>
      <c r="E96" s="50" t="n">
        <f aca="false">IF((E95+D95)/2&gt;1000,E94/((E95+D95)/2),"n/a")</f>
        <v>-0.981360920684144</v>
      </c>
      <c r="F96" s="50" t="n">
        <f aca="false">IF((F95+E95)/2&gt;1000,F94/((F95+E95)/2),"n/a")</f>
        <v>-0.938394948254524</v>
      </c>
      <c r="G96" s="50" t="n">
        <f aca="false">IF((G95+F95)/2&gt;1000,G94/((G95+F95)/2),"n/a")</f>
        <v>-0.98418761580579</v>
      </c>
      <c r="I96" s="50" t="n">
        <f aca="false">IF((I95+0)/2&gt;1000,I94/((I95+0)/2),"n/a")</f>
        <v>-1.64964975399362</v>
      </c>
      <c r="J96" s="50" t="n">
        <f aca="false">IF((J95+I95)/2&gt;1000,J94/((J95+I95)/2),"n/a")</f>
        <v>-0.494043214878782</v>
      </c>
      <c r="K96" s="50" t="n">
        <f aca="false">IF((K95+J95)/2&gt;1000,K94/((K95+J95)/2),"n/a")</f>
        <v>-0.30395363376364</v>
      </c>
      <c r="L96" s="50" t="n">
        <f aca="false">IF((L95+K95)/2&gt;1000,L94/((L95+K95)/2),"n/a")</f>
        <v>-0.227592252641031</v>
      </c>
      <c r="M96" s="50" t="n">
        <f aca="false">IF((M95+L95)/2&gt;1000,M94/((M95+L95)/2),"n/a")</f>
        <v>-0.182940829898762</v>
      </c>
      <c r="O96" s="50" t="n">
        <f aca="false">IF((O95+0)/2&gt;1000,O94/((O95+0)/2),"n/a")</f>
        <v>-1.32544101883962</v>
      </c>
      <c r="P96" s="50" t="n">
        <f aca="false">IF((P95+O95)/2&gt;1000,P94/((P95+O95)/2),"n/a")</f>
        <v>-0.121309940774794</v>
      </c>
      <c r="Q96" s="50" t="n">
        <f aca="false">IF((Q95+P95)/2&gt;1000,Q94/((Q95+P95)/2),"n/a")</f>
        <v>0.0645673279566347</v>
      </c>
      <c r="R96" s="50" t="n">
        <f aca="false">IF((R95+Q95)/2&gt;1000,R94/((R95+Q95)/2),"n/a")</f>
        <v>0.161225088812833</v>
      </c>
      <c r="S96" s="50" t="n">
        <f aca="false">IF((S95+R95)/2&gt;1000,S94/((S95+R95)/2),"n/a")</f>
        <v>0.252022299169787</v>
      </c>
      <c r="U96" s="50" t="n">
        <f aca="false">IF((U95+0)/2&gt;1000,U94/((U95+0)/2),"n/a")</f>
        <v>-1.44809970707672</v>
      </c>
      <c r="V96" s="50" t="n">
        <f aca="false">IF((V95+U95)/2&gt;1000,V94/((V95+U95)/2),"n/a")</f>
        <v>-0.699686069401499</v>
      </c>
      <c r="W96" s="50" t="n">
        <f aca="false">IF((W95+V95)/2&gt;1000,W94/((W95+V95)/2),"n/a")</f>
        <v>-1.05417844800378</v>
      </c>
      <c r="X96" s="50" t="n">
        <f aca="false">IF((X95+W95)/2&gt;1000,X94/((X95+W95)/2),"n/a")</f>
        <v>-4.88514995052327</v>
      </c>
      <c r="Y96" s="50" t="str">
        <f aca="false">IF((Y95+X95)/2&gt;1000,Y94/((Y95+X95)/2),"n/a")</f>
        <v>n/a</v>
      </c>
    </row>
    <row r="97" customFormat="false" ht="15" hidden="false" customHeight="false" outlineLevel="0" collapsed="false">
      <c r="A97" s="33" t="s">
        <v>831</v>
      </c>
      <c r="C97" s="44" t="str">
        <f aca="false">IF(C26&gt;0,(C40+Assumptions!$C$18*Assumptions!$C$17)/C26,"n/a")</f>
        <v>n/a</v>
      </c>
      <c r="D97" s="44" t="str">
        <f aca="false">IF(D26&gt;0,(D40+Assumptions!$C$18*Assumptions!$C$17)/D26,"n/a")</f>
        <v>n/a</v>
      </c>
      <c r="E97" s="44" t="str">
        <f aca="false">IF(E26&gt;0,(E40+Assumptions!$C$18*Assumptions!$C$17)/E26,"n/a")</f>
        <v>n/a</v>
      </c>
      <c r="F97" s="44" t="str">
        <f aca="false">IF(F26&gt;0,(F40+Assumptions!$C$18*Assumptions!$C$17)/F26,"n/a")</f>
        <v>n/a</v>
      </c>
      <c r="G97" s="44" t="str">
        <f aca="false">IF(G26&gt;0,(G40+Assumptions!$C$18*Assumptions!$C$17)/G26,"n/a")</f>
        <v>n/a</v>
      </c>
      <c r="I97" s="44" t="n">
        <f aca="false">IF(I26&gt;0,(I40+Assumptions!$C$18*Assumptions!$C$17)/I26,"n/a")</f>
        <v>15557.2285875831</v>
      </c>
      <c r="J97" s="44" t="n">
        <f aca="false">IF(J26&gt;0,(J40+Assumptions!$C$18*Assumptions!$C$17)/J26,"n/a")</f>
        <v>13543.1997303454</v>
      </c>
      <c r="K97" s="44" t="n">
        <f aca="false">IF(K26&gt;0,(K40+Assumptions!$C$18*Assumptions!$C$17)/K26,"n/a")</f>
        <v>13291.4461231907</v>
      </c>
      <c r="L97" s="44" t="n">
        <f aca="false">IF(L26&gt;0,(L40+Assumptions!$C$18*Assumptions!$C$17)/L26,"n/a")</f>
        <v>14298.4605518096</v>
      </c>
      <c r="M97" s="44" t="n">
        <f aca="false">IF(M26&gt;0,(M40+Assumptions!$C$18*Assumptions!$C$17)/M26,"n/a")</f>
        <v>14424.3373553869</v>
      </c>
      <c r="O97" s="44" t="n">
        <f aca="false">IF(O26&gt;0,(O40+Assumptions!$C$18*Assumptions!$C$17)/O26,"n/a")</f>
        <v>5075.70579862104</v>
      </c>
      <c r="P97" s="44" t="n">
        <f aca="false">IF(P26&gt;0,(P40+Assumptions!$C$18*Assumptions!$C$17)/P26,"n/a")</f>
        <v>4416.62491555117</v>
      </c>
      <c r="Q97" s="44" t="n">
        <f aca="false">IF(Q26&gt;0,(Q40+Assumptions!$C$18*Assumptions!$C$17)/Q26,"n/a")</f>
        <v>4334.23980516743</v>
      </c>
      <c r="R97" s="44" t="n">
        <f aca="false">IF(R26&gt;0,(R40+Assumptions!$C$18*Assumptions!$C$17)/R26,"n/a")</f>
        <v>4663.78024670237</v>
      </c>
      <c r="S97" s="44" t="n">
        <f aca="false">IF(S26&gt;0,(S40+Assumptions!$C$18*Assumptions!$C$17)/S26,"n/a")</f>
        <v>4704.97280189424</v>
      </c>
      <c r="U97" s="44" t="str">
        <f aca="false">IF(U26&gt;0,(U40+Assumptions!$C$18*Assumptions!$C$17)/U26,"n/a")</f>
        <v>n/a</v>
      </c>
      <c r="V97" s="44" t="str">
        <f aca="false">IF(V26&gt;0,(V40+Assumptions!$C$18*Assumptions!$C$17)/V26,"n/a")</f>
        <v>n/a</v>
      </c>
      <c r="W97" s="44" t="str">
        <f aca="false">IF(W26&gt;0,(W40+Assumptions!$C$18*Assumptions!$C$17)/W26,"n/a")</f>
        <v>n/a</v>
      </c>
      <c r="X97" s="44" t="str">
        <f aca="false">IF(X26&gt;0,(X40+Assumptions!$C$18*Assumptions!$C$17)/X26,"n/a")</f>
        <v>n/a</v>
      </c>
      <c r="Y97" s="44" t="str">
        <f aca="false">IF(Y26&gt;0,(Y40+Assumptions!$C$18*Assumptions!$C$17)/Y26,"n/a")</f>
        <v>n/a</v>
      </c>
    </row>
    <row r="98" customFormat="false" ht="15" hidden="false" customHeight="false" outlineLevel="0" collapsed="false">
      <c r="A98" s="33" t="s">
        <v>832</v>
      </c>
      <c r="C98" s="44" t="str">
        <f aca="false">IF(C26&gt;0,(C40+Assumptions!$C$18*Assumptions!$C$17+C44)/C26,"n/a")</f>
        <v>n/a</v>
      </c>
      <c r="D98" s="44" t="str">
        <f aca="false">IF(D26&gt;0,(D40+Assumptions!$C$18*Assumptions!$C$17+D44)/D26,"n/a")</f>
        <v>n/a</v>
      </c>
      <c r="E98" s="44" t="str">
        <f aca="false">IF(E26&gt;0,(E40+Assumptions!$C$18*Assumptions!$C$17+E44)/E26,"n/a")</f>
        <v>n/a</v>
      </c>
      <c r="F98" s="44" t="str">
        <f aca="false">IF(F26&gt;0,(F40+Assumptions!$C$18*Assumptions!$C$17+F44)/F26,"n/a")</f>
        <v>n/a</v>
      </c>
      <c r="G98" s="44" t="str">
        <f aca="false">IF(G26&gt;0,(G40+Assumptions!$C$18*Assumptions!$C$17+G44)/G26,"n/a")</f>
        <v>n/a</v>
      </c>
      <c r="I98" s="44" t="n">
        <f aca="false">IF(I26&gt;0,(I40+Assumptions!$C$18*Assumptions!$C$17+I44)/I26,"n/a")</f>
        <v>17044.8635389519</v>
      </c>
      <c r="J98" s="44" t="n">
        <f aca="false">IF(J26&gt;0,(J40+Assumptions!$C$18*Assumptions!$C$17+J44)/J26,"n/a")</f>
        <v>15030.8346817142</v>
      </c>
      <c r="K98" s="44" t="n">
        <f aca="false">IF(K26&gt;0,(K40+Assumptions!$C$18*Assumptions!$C$17+K44)/K26,"n/a")</f>
        <v>15122.3814479523</v>
      </c>
      <c r="L98" s="44" t="n">
        <f aca="false">IF(L26&gt;0,(L40+Assumptions!$C$18*Assumptions!$C$17+L44)/L26,"n/a")</f>
        <v>16129.3958765711</v>
      </c>
      <c r="M98" s="44" t="n">
        <f aca="false">IF(M26&gt;0,(M40+Assumptions!$C$18*Assumptions!$C$17+M44)/M26,"n/a")</f>
        <v>16255.2726801485</v>
      </c>
      <c r="O98" s="44" t="n">
        <f aca="false">IF(O26&gt;0,(O40+Assumptions!$C$18*Assumptions!$C$17+O44)/O26,"n/a")</f>
        <v>5518.27044117829</v>
      </c>
      <c r="P98" s="44" t="n">
        <f aca="false">IF(P26&gt;0,(P40+Assumptions!$C$18*Assumptions!$C$17+P44)/P26,"n/a")</f>
        <v>4859.18955810842</v>
      </c>
      <c r="Q98" s="44" t="n">
        <f aca="false">IF(Q26&gt;0,(Q40+Assumptions!$C$18*Assumptions!$C$17+Q44)/Q26,"n/a")</f>
        <v>4878.93474985328</v>
      </c>
      <c r="R98" s="44" t="n">
        <f aca="false">IF(R26&gt;0,(R40+Assumptions!$C$18*Assumptions!$C$17+R44)/R26,"n/a")</f>
        <v>5208.47519138822</v>
      </c>
      <c r="S98" s="44" t="n">
        <f aca="false">IF(S26&gt;0,(S40+Assumptions!$C$18*Assumptions!$C$17+S44)/S26,"n/a")</f>
        <v>5249.66774658009</v>
      </c>
      <c r="U98" s="44" t="str">
        <f aca="false">IF(U26&gt;0,(U40+Assumptions!$C$18*Assumptions!$C$17+U44)/U26,"n/a")</f>
        <v>n/a</v>
      </c>
      <c r="V98" s="44" t="str">
        <f aca="false">IF(V26&gt;0,(V40+Assumptions!$C$18*Assumptions!$C$17+V44)/V26,"n/a")</f>
        <v>n/a</v>
      </c>
      <c r="W98" s="44" t="str">
        <f aca="false">IF(W26&gt;0,(W40+Assumptions!$C$18*Assumptions!$C$17+W44)/W26,"n/a")</f>
        <v>n/a</v>
      </c>
      <c r="X98" s="44" t="str">
        <f aca="false">IF(X26&gt;0,(X40+Assumptions!$C$18*Assumptions!$C$17+X44)/X26,"n/a")</f>
        <v>n/a</v>
      </c>
      <c r="Y98" s="44" t="str">
        <f aca="false">IF(Y26&gt;0,(Y40+Assumptions!$C$18*Assumptions!$C$17+Y44)/Y26,"n/a")</f>
        <v>n/a</v>
      </c>
    </row>
    <row r="99" customFormat="false" ht="15" hidden="false" customHeight="false" outlineLevel="0" collapsed="false">
      <c r="A99" s="33" t="s">
        <v>237</v>
      </c>
      <c r="C99" s="44" t="n">
        <f aca="false">C14/(Assumptions!$C$21*Assumptions!$C$20)</f>
        <v>0</v>
      </c>
      <c r="D99" s="44" t="n">
        <f aca="false">D14/(Assumptions!$C$21*Assumptions!$C$20)</f>
        <v>25</v>
      </c>
      <c r="E99" s="44" t="n">
        <f aca="false">E14/(Assumptions!$C$21*Assumptions!$C$20)</f>
        <v>37.5</v>
      </c>
      <c r="F99" s="44" t="n">
        <f aca="false">F14/(Assumptions!$C$21*Assumptions!$C$20)</f>
        <v>50</v>
      </c>
      <c r="G99" s="44" t="n">
        <f aca="false">G14/(Assumptions!$C$21*Assumptions!$C$20)</f>
        <v>62.5</v>
      </c>
      <c r="I99" s="44" t="n">
        <f aca="false">I14/(Assumptions!$C$21*Assumptions!$C$20)</f>
        <v>0</v>
      </c>
      <c r="J99" s="44" t="n">
        <f aca="false">J14/(Assumptions!$C$21*Assumptions!$C$20)</f>
        <v>50</v>
      </c>
      <c r="K99" s="44" t="n">
        <f aca="false">K14/(Assumptions!$C$21*Assumptions!$C$20)</f>
        <v>87.5</v>
      </c>
      <c r="L99" s="44" t="n">
        <f aca="false">L14/(Assumptions!$C$21*Assumptions!$C$20)</f>
        <v>125</v>
      </c>
      <c r="M99" s="44" t="n">
        <f aca="false">M14/(Assumptions!$C$21*Assumptions!$C$20)</f>
        <v>162.5</v>
      </c>
      <c r="O99" s="44" t="n">
        <f aca="false">O14/(Assumptions!$C$21*Assumptions!$C$20)</f>
        <v>0</v>
      </c>
      <c r="P99" s="44" t="n">
        <f aca="false">P14/(Assumptions!$C$21*Assumptions!$C$20)</f>
        <v>87.5</v>
      </c>
      <c r="Q99" s="44" t="n">
        <f aca="false">Q14/(Assumptions!$C$21*Assumptions!$C$20)</f>
        <v>150</v>
      </c>
      <c r="R99" s="44" t="n">
        <f aca="false">R14/(Assumptions!$C$21*Assumptions!$C$20)</f>
        <v>225</v>
      </c>
      <c r="S99" s="44" t="n">
        <f aca="false">S14/(Assumptions!$C$21*Assumptions!$C$20)</f>
        <v>300</v>
      </c>
      <c r="U99" s="44" t="n">
        <f aca="false">U14/(Assumptions!$C$21*Assumptions!$C$20)</f>
        <v>0</v>
      </c>
      <c r="V99" s="44" t="n">
        <f aca="false">V14/(Assumptions!$C$21*Assumptions!$C$20)</f>
        <v>50</v>
      </c>
      <c r="W99" s="44" t="n">
        <f aca="false">W14/(Assumptions!$C$21*Assumptions!$C$20)</f>
        <v>38.8213734567901</v>
      </c>
      <c r="X99" s="44" t="n">
        <f aca="false">X14/(Assumptions!$C$21*Assumptions!$C$20)</f>
        <v>0</v>
      </c>
      <c r="Y99" s="44" t="n">
        <f aca="false">Y14/(Assumptions!$C$21*Assumptions!$C$20)</f>
        <v>0</v>
      </c>
    </row>
  </sheetData>
  <mergeCells count="4">
    <mergeCell ref="C3:G3"/>
    <mergeCell ref="I3:M3"/>
    <mergeCell ref="O3:S3"/>
    <mergeCell ref="U3:Y3"/>
  </mergeCells>
  <conditionalFormatting sqref="C84:Y84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2026-10-10T11:03:20Z</dcterms:created>
  <dc:creator>openpyxl</dc:creator>
  <dc:description/>
  <dc:language>en-US</dc:language>
  <cp:lastModifiedBy/>
  <dcterms:modified xsi:type="dcterms:W3CDTF">2026-10-10T11:03:20Z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