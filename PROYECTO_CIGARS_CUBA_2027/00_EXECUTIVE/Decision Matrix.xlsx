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strategias" sheetId="1" state="visible" r:id="rId3"/>
    <sheet name="Posicionamiento" sheetId="2" state="visible" r:id="rId4"/>
    <sheet name="Estructura societaria" sheetId="3" state="visible" r:id="rId5"/>
    <sheet name="Decisiones pendientes" sheetId="4" state="visible" r:id="rId6"/>
    <sheet name="Condiciones Go-NoG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<sst xmlns="http://schemas.openxmlformats.org/spreadsheetml/2006/main" count="218" uniqueCount="186">
  <si>
    <t xml:space="preserve">Matriz de decisión — Estrategias (Proyecto C)</t>
  </si>
  <si>
    <t xml:space="preserve">Puntuación 1–5 (5 = mejor para el inversor). Pesos y puntuaciones editables. Evaluación del equipo a 10/10/2026.</t>
  </si>
  <si>
    <t xml:space="preserve">Criterio</t>
  </si>
  <si>
    <t xml:space="preserve">Peso</t>
  </si>
  <si>
    <t xml:space="preserve">E1 Sólo marca propia (Cuba)</t>
  </si>
  <si>
    <t xml:space="preserve">E2 Sólo importación (no cubana)</t>
  </si>
  <si>
    <t xml:space="preserve">E3 Importación primero, marca después</t>
  </si>
  <si>
    <t xml:space="preserve">E4 Ambos en paralelo</t>
  </si>
  <si>
    <t xml:space="preserve">Capital necesario (5 = bajo)</t>
  </si>
  <si>
    <t xml:space="preserve">Barreras legales (5 = bajas)</t>
  </si>
  <si>
    <t xml:space="preserve">Tiempo hasta primer ingreso (5 = corto)</t>
  </si>
  <si>
    <t xml:space="preserve">Capacidad de control</t>
  </si>
  <si>
    <t xml:space="preserve">Dependencia de terceros (5 = baja)</t>
  </si>
  <si>
    <t xml:space="preserve">Complejidad operativa (5 = baja)</t>
  </si>
  <si>
    <t xml:space="preserve">Potencial de margen</t>
  </si>
  <si>
    <t xml:space="preserve">Necesidad de financiación externa (5 = baja)</t>
  </si>
  <si>
    <t xml:space="preserve">Riesgos principales (5 = bajos)</t>
  </si>
  <si>
    <t xml:space="preserve">Potencial de creación de valor</t>
  </si>
  <si>
    <t xml:space="preserve">Reversibilidad de la inversión</t>
  </si>
  <si>
    <t xml:space="preserve">Suma de pesos (debe ser 100%)</t>
  </si>
  <si>
    <t xml:space="preserve">PUNTUACIÓN PONDERADA (1–5)</t>
  </si>
  <si>
    <t xml:space="preserve">Ranking</t>
  </si>
  <si>
    <t xml:space="preserve">E2 y E3 empatan en el corto plazo; E3 se recomienda porque conserva la opción de marca propia (valor) sin comprometer capital hasta superar la Fase 0.</t>
  </si>
  <si>
    <t xml:space="preserve">Justificación cualitativa</t>
  </si>
  <si>
    <t xml:space="preserve">Estrategia</t>
  </si>
  <si>
    <t xml:space="preserve">Motivo</t>
  </si>
  <si>
    <t xml:space="preserve">E1</t>
  </si>
  <si>
    <t xml:space="preserve">Bloqueo jurídico no resuelto (Habanos/Tabacuba); modelo financiero negativo en escenario Base; necesidad de financiación 130–210 k€; primer ingreso no antes de 2028.</t>
  </si>
  <si>
    <t xml:space="preserve">E2</t>
  </si>
  <si>
    <t xml:space="preserve">Vía legal clara (habilitación CMT) para marcas no cubanas; Habanos no accesible. Capital 30–75 k€. Depende de obtener exclusivas de fabricantes.</t>
  </si>
  <si>
    <t xml:space="preserve">E3</t>
  </si>
  <si>
    <t xml:space="preserve">Construye habilitaciones, relación con distribuidor y expendedurías, y caja; la marca propia se activa sólo si se cumplen las condiciones Go de la Fase 0.</t>
  </si>
  <si>
    <t xml:space="preserve">E4</t>
  </si>
  <si>
    <t xml:space="preserve">Duplica costes fijos y atención directiva con un capital de 15–100 k€; concentra riesgo cubano y de circulante a la vez.</t>
  </si>
  <si>
    <t xml:space="preserve">Matriz ponderada de posicionamiento de marca</t>
  </si>
  <si>
    <t xml:space="preserve">A Luxury Heritage · B Contemporary Cuban Luxury · C Ultra-Limited Artisan</t>
  </si>
  <si>
    <t xml:space="preserve">A Luxury Heritage</t>
  </si>
  <si>
    <t xml:space="preserve">B Contemporary Cuban Luxury</t>
  </si>
  <si>
    <t xml:space="preserve">C Ultra-Limited Artisan</t>
  </si>
  <si>
    <t xml:space="preserve">Diferenciación</t>
  </si>
  <si>
    <t xml:space="preserve">Coherencia con la realidad productiva</t>
  </si>
  <si>
    <t xml:space="preserve">Viabilidad reguladora</t>
  </si>
  <si>
    <t xml:space="preserve">Potencial comercial entre profesionales</t>
  </si>
  <si>
    <t xml:space="preserve">Coste de desarrollo (5 = bajo)</t>
  </si>
  <si>
    <t xml:space="preserve">Potencial de precio</t>
  </si>
  <si>
    <t xml:space="preserve">Escalabilidad</t>
  </si>
  <si>
    <t xml:space="preserve">Riesgo de dependencia del fabricante (5 = bajo)</t>
  </si>
  <si>
    <t xml:space="preserve">Seleccionado: B, incorporando de C la numeración por pliegos (lotes) — el modelo financiero exige PVP ≥ 24 €.</t>
  </si>
  <si>
    <t xml:space="preserve">Comparativa de estructuras societarias</t>
  </si>
  <si>
    <t xml:space="preserve">Considera el traslado real del promotor a Andorra en 2027. No se propone ninguna estructura por menor tributación aparente.</t>
  </si>
  <si>
    <t xml:space="preserve">1 SL española titular + contratante</t>
  </si>
  <si>
    <t xml:space="preserve">2 SL española + importador/mayorista subcontratado</t>
  </si>
  <si>
    <t xml:space="preserve">3 SL con todas las habilitaciones propias</t>
  </si>
  <si>
    <t xml:space="preserve">4 Sociedad andorrana titular + SL operativa</t>
  </si>
  <si>
    <t xml:space="preserve">5 Licencia de marca a tercero habilitado</t>
  </si>
  <si>
    <t xml:space="preserve">Coste de cumplimiento (5 = bajo)</t>
  </si>
  <si>
    <t xml:space="preserve">Riesgo fiscal: dirección efectiva, EP, vinculadas (5 = bajo)</t>
  </si>
  <si>
    <t xml:space="preserve">Complejidad (5 = baja)</t>
  </si>
  <si>
    <t xml:space="preserve">Control del negocio y de la marca</t>
  </si>
  <si>
    <t xml:space="preserve">Adecuación al traslado a Andorra</t>
  </si>
  <si>
    <t xml:space="preserve">Escalabilidad y venta futura</t>
  </si>
  <si>
    <t xml:space="preserve">Recomendado: 2 (SL española titular de la marca con habilitación como fabricante; logística, depósito fiscal y distribución subcontratados a operador habilitado). La opción 4 sólo con sustancia real en Andorra y precios de transferencia documentados.</t>
  </si>
  <si>
    <t xml:space="preserve">Matriz de decisiones pendientes del promotor</t>
  </si>
  <si>
    <t xml:space="preserve">Cada decisión indica qué información falta y quién debe facilitarla.</t>
  </si>
  <si>
    <t xml:space="preserve">ID</t>
  </si>
  <si>
    <t xml:space="preserve">Decisión</t>
  </si>
  <si>
    <t xml:space="preserve">Opciones</t>
  </si>
  <si>
    <t xml:space="preserve">Recomendación</t>
  </si>
  <si>
    <t xml:space="preserve">Información que falta</t>
  </si>
  <si>
    <t xml:space="preserve">Quién</t>
  </si>
  <si>
    <t xml:space="preserve">Plazo</t>
  </si>
  <si>
    <t xml:space="preserve">Depende de</t>
  </si>
  <si>
    <t xml:space="preserve">D01</t>
  </si>
  <si>
    <t xml:space="preserve">Autorizar la Fase 0 (due diligence jurídica Cuba)</t>
  </si>
  <si>
    <t xml:space="preserve">Sí / No</t>
  </si>
  <si>
    <t xml:space="preserve">Sí: coste acotado (≈6–10 k€) frente a un riesgo de pérdida total</t>
  </si>
  <si>
    <t xml:space="preserve">Presupuesto y elección de abogados</t>
  </si>
  <si>
    <t xml:space="preserve">Promotor</t>
  </si>
  <si>
    <t xml:space="preserve">Semana 1</t>
  </si>
  <si>
    <t xml:space="preserve">—</t>
  </si>
  <si>
    <t xml:space="preserve">D02</t>
  </si>
  <si>
    <t xml:space="preserve">Identidad completa de la empresa cubana que menciona el torcedor</t>
  </si>
  <si>
    <t xml:space="preserve">Obtener razón social, NIT, objeto social y licencias</t>
  </si>
  <si>
    <t xml:space="preserve">Datos del torcedor y documentos de la empresa</t>
  </si>
  <si>
    <t xml:space="preserve">Torcedor → promotor</t>
  </si>
  <si>
    <t xml:space="preserve">Semana 2</t>
  </si>
  <si>
    <t xml:space="preserve">D03</t>
  </si>
  <si>
    <t xml:space="preserve">Aceptar o rechazar que Habanos/Cubatabaco sea titular o cotitular de la marca</t>
  </si>
  <si>
    <t xml:space="preserve">Aceptar / Rechazar / Licencia con recompra</t>
  </si>
  <si>
    <t xml:space="preserve">Rechazar titularidad; valorar licencia sólo si la marca vuelve al promotor</t>
  </si>
  <si>
    <t xml:space="preserve">Respuesta escrita de la contraparte cubana</t>
  </si>
  <si>
    <t xml:space="preserve">Promotor + abogado</t>
  </si>
  <si>
    <t xml:space="preserve">Fin Fase 0</t>
  </si>
  <si>
    <t xml:space="preserve">D04</t>
  </si>
  <si>
    <t xml:space="preserve">Rechazo formal de la oferta de Behike 56 a 50 €/caja</t>
  </si>
  <si>
    <t xml:space="preserve">Rechazar por escrito y no mantener contacto comercial</t>
  </si>
  <si>
    <t xml:space="preserve">Inmediato</t>
  </si>
  <si>
    <t xml:space="preserve">D05</t>
  </si>
  <si>
    <t xml:space="preserve">Estructura societaria</t>
  </si>
  <si>
    <t xml:space="preserve">Opciones 1–5</t>
  </si>
  <si>
    <t xml:space="preserve">Opción 2 (SL española + operador habilitado)</t>
  </si>
  <si>
    <t xml:space="preserve">Asesoría fiscal España-Andorra sobre residencia y dirección efectiva</t>
  </si>
  <si>
    <t xml:space="preserve">Promotor + asesor fiscal</t>
  </si>
  <si>
    <t xml:space="preserve">Antes de constituir</t>
  </si>
  <si>
    <t xml:space="preserve">D06</t>
  </si>
  <si>
    <t xml:space="preserve">Momento y forma del traslado a Andorra</t>
  </si>
  <si>
    <t xml:space="preserve">Planificar con asesor; no condicionar la estructura a ahorro fiscal</t>
  </si>
  <si>
    <t xml:space="preserve">Fecha prevista, actividad en Andorra, patrimonio</t>
  </si>
  <si>
    <t xml:space="preserve">T1 2027</t>
  </si>
  <si>
    <t xml:space="preserve">D07</t>
  </si>
  <si>
    <t xml:space="preserve">Lanzar en paralelo la vía B3 (importación no cubana)</t>
  </si>
  <si>
    <t xml:space="preserve">Sí / No / Más tarde</t>
  </si>
  <si>
    <t xml:space="preserve">Sí, sólo validación comercial sin capital (cartas de interés)</t>
  </si>
  <si>
    <t xml:space="preserve">Lista de fabricantes sin distribución en España</t>
  </si>
  <si>
    <t xml:space="preserve">Mes 2</t>
  </si>
  <si>
    <t xml:space="preserve">D08</t>
  </si>
  <si>
    <t xml:space="preserve">Nombre de marca definitivo</t>
  </si>
  <si>
    <t xml:space="preserve">ARNALDO / FOLIO / LUMBRE</t>
  </si>
  <si>
    <t xml:space="preserve">ARNALDO (decidido por el promotor 10/10/2026), condicionado a consentimiento de Arnaldo e informe de registrabilidad</t>
  </si>
  <si>
    <t xml:space="preserve">Búsqueda EUIPO/OEPM/OCPI por agente</t>
  </si>
  <si>
    <t xml:space="preserve">Promotor + agente de marcas</t>
  </si>
  <si>
    <t xml:space="preserve">D09</t>
  </si>
  <si>
    <t xml:space="preserve">Presupuesto máximo comprometido antes de la primera importación</t>
  </si>
  <si>
    <t xml:space="preserve">15–100 k€</t>
  </si>
  <si>
    <t xml:space="preserve">≤ 20 k€ hasta cumplir condiciones Go</t>
  </si>
  <si>
    <t xml:space="preserve">Resultado Fase 0 + cotización FOB</t>
  </si>
  <si>
    <t xml:space="preserve">D01–D03</t>
  </si>
  <si>
    <t xml:space="preserve">D11</t>
  </si>
  <si>
    <t xml:space="preserve">Contraprestación de Arnaldo por nombre y colaboración</t>
  </si>
  <si>
    <t xml:space="preserve">A royalty 2% / B equity 10% con vesting / C mixta</t>
  </si>
  <si>
    <t xml:space="preserve">B o C: equity con vesting alinea incentivos sin consumir caja</t>
  </si>
  <si>
    <t xml:space="preserve">Dictamen cubano sobre cobro legal; autorización del empleador</t>
  </si>
  <si>
    <t xml:space="preserve">Promotor + abogados</t>
  </si>
  <si>
    <t xml:space="preserve">Fase 0</t>
  </si>
  <si>
    <t xml:space="preserve">D02, D10</t>
  </si>
  <si>
    <t xml:space="preserve">D10</t>
  </si>
  <si>
    <t xml:space="preserve">Papel y retribución legal del torcedor</t>
  </si>
  <si>
    <t xml:space="preserve">Consultor vía entidad / empleado / socio</t>
  </si>
  <si>
    <t xml:space="preserve">Sólo a través de la entidad autorizada y con permiso de su empleador</t>
  </si>
  <si>
    <t xml:space="preserve">Normativa laboral cubana y autorización del empleador</t>
  </si>
  <si>
    <t xml:space="preserve">Abogado cubano</t>
  </si>
  <si>
    <t xml:space="preserve">D12</t>
  </si>
  <si>
    <t xml:space="preserve">Propuesta a inversores: importe, tramos e instrumento</t>
  </si>
  <si>
    <t xml:space="preserve">Sin inversores hasta el Go / tramos condicionados a C1–C8 / socio estratégico</t>
  </si>
  <si>
    <t xml:space="preserve">Tramos: Fase 0 con capital propio; capital externo sólo tras el Go y por hitos</t>
  </si>
  <si>
    <t xml:space="preserve">Resultado de la Fase 0; aportación del promotor; perfil de inversor buscado</t>
  </si>
  <si>
    <t xml:space="preserve">Antes de presentar a inversores</t>
  </si>
  <si>
    <t xml:space="preserve">D01, D09</t>
  </si>
  <si>
    <t xml:space="preserve">D13</t>
  </si>
  <si>
    <t xml:space="preserve">Origen alternativo de ARNALDO (R. Dominicana / Nicaragua) si la vía cubana no se abre</t>
  </si>
  <si>
    <t xml:space="preserve">Sí / No / Sólo como plan B</t>
  </si>
  <si>
    <t xml:space="preserve">Plan B documentado: mejora el coste ≈2 €/u (arancel 0%), pero cambia el posicionamiento y el papel de Arnaldo</t>
  </si>
  <si>
    <t xml:space="preserve">Cotizaciones de fabricantes no cubanos; encaje legal de Arnaldo</t>
  </si>
  <si>
    <t xml:space="preserve">Comité Go/No-Go</t>
  </si>
  <si>
    <t xml:space="preserve">D01, D10</t>
  </si>
  <si>
    <t xml:space="preserve">Condiciones verificables para avanzar (CONDITIONAL GO)</t>
  </si>
  <si>
    <t xml:space="preserve">Marcar 1 cuando exista la evidencia documental indicada. El estado global se calcula.</t>
  </si>
  <si>
    <t xml:space="preserve">Condición</t>
  </si>
  <si>
    <t xml:space="preserve">Evidencia exigida</t>
  </si>
  <si>
    <t xml:space="preserve">Cumplida (1/0)</t>
  </si>
  <si>
    <t xml:space="preserve">C1</t>
  </si>
  <si>
    <t xml:space="preserve">Documento oficial cubano que identifique la entidad autorizada a fabricar y exportar cigarros para una marca de titularidad extranjera</t>
  </si>
  <si>
    <t xml:space="preserve">Certificación / licencia / carta de Habanos S.A. o del organismo competente</t>
  </si>
  <si>
    <t xml:space="preserve">C2</t>
  </si>
  <si>
    <t xml:space="preserve">Confirmación escrita de que la marca puede ser 100% propiedad de la sociedad del promotor en Cuba y en la UE</t>
  </si>
  <si>
    <t xml:space="preserve">Cláusula aceptada en term sheet + búsqueda OCPI</t>
  </si>
  <si>
    <t xml:space="preserve">C3</t>
  </si>
  <si>
    <t xml:space="preserve">Cotización FOB firme por vitola y volumen, compatible con FOB ≤ 5 USD a PVP 24 € (o PVP superior validado)</t>
  </si>
  <si>
    <t xml:space="preserve">Oferta firmada con validez ≥ 90 días</t>
  </si>
  <si>
    <t xml:space="preserve">C4</t>
  </si>
  <si>
    <t xml:space="preserve">Vía de pago verificada con banco español (y cubano) para el importe del primer pedido y dictamen de sanciones UE/EE. UU. sobre la contraparte y el flujo de pagos</t>
  </si>
  <si>
    <t xml:space="preserve">Carta/correo del banco + dictamen de abogado de sanciones</t>
  </si>
  <si>
    <t xml:space="preserve">C5</t>
  </si>
  <si>
    <t xml:space="preserve">Distribuidor mayorista habilitado dispuesto a distribuir la marca (condiciones y tarifa)</t>
  </si>
  <si>
    <t xml:space="preserve">Carta de intención</t>
  </si>
  <si>
    <t xml:space="preserve">C6</t>
  </si>
  <si>
    <t xml:space="preserve">≥ 10 expendedurías especialistas con interés por escrito</t>
  </si>
  <si>
    <t xml:space="preserve">Cartas de interés B2B</t>
  </si>
  <si>
    <t xml:space="preserve">C7</t>
  </si>
  <si>
    <t xml:space="preserve">Informe de registrabilidad de la marca en clase 34 (UE y Cuba) sin oposiciones previsibles</t>
  </si>
  <si>
    <t xml:space="preserve">Informe de agente de marcas</t>
  </si>
  <si>
    <t xml:space="preserve">C8</t>
  </si>
  <si>
    <t xml:space="preserve">Capital disponible ≥ necesidad máxima del escenario Conservador + 25%</t>
  </si>
  <si>
    <t xml:space="preserve">Model 'Scenarios'</t>
  </si>
  <si>
    <t xml:space="preserve">Condiciones cumplidas</t>
  </si>
  <si>
    <t xml:space="preserve">DECISIÓN AUTOMÁTICA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</si>
</sst>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F4E9E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5A3E2B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FFF8E1"/>
        <bgColor rgb="FFFFFFFF"/>
      </patternFill>
    </fill>
    <fill>
      <patternFill patternType="solid">
        <fgColor rgb="FFE2F0D9"/>
        <bgColor rgb="FFEFE7DA"/>
      </patternFill>
    </fill>
    <fill>
      <patternFill patternType="solid">
        <fgColor rgb="FFEFE7DA"/>
        <bgColor rgb="FFE2F0D9"/>
      </patternFill>
    </fill>
    <fill>
      <patternFill patternType="solid">
        <fgColor rgb="FFFADBD8"/>
        <bgColor rgb="FFEFE7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FE7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6" min="3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0.15</v>
      </c>
      <c r="C5" s="6" t="n">
        <v>1</v>
      </c>
      <c r="D5" s="6" t="n">
        <v>4</v>
      </c>
      <c r="E5" s="6" t="n">
        <v>4</v>
      </c>
      <c r="F5" s="6" t="n">
        <v>1</v>
      </c>
    </row>
    <row r="6" customFormat="false" ht="15" hidden="false" customHeight="false" outlineLevel="0" collapsed="false">
      <c r="A6" s="4" t="s">
        <v>9</v>
      </c>
      <c r="B6" s="5" t="n">
        <v>0.2</v>
      </c>
      <c r="C6" s="6" t="n">
        <v>1</v>
      </c>
      <c r="D6" s="6" t="n">
        <v>4</v>
      </c>
      <c r="E6" s="6" t="n">
        <v>4</v>
      </c>
      <c r="F6" s="6" t="n">
        <v>1</v>
      </c>
    </row>
    <row r="7" customFormat="false" ht="15" hidden="false" customHeight="false" outlineLevel="0" collapsed="false">
      <c r="A7" s="4" t="s">
        <v>10</v>
      </c>
      <c r="B7" s="5" t="n">
        <v>0.1</v>
      </c>
      <c r="C7" s="6" t="n">
        <v>1</v>
      </c>
      <c r="D7" s="6" t="n">
        <v>4</v>
      </c>
      <c r="E7" s="6" t="n">
        <v>4</v>
      </c>
      <c r="F7" s="6" t="n">
        <v>3</v>
      </c>
    </row>
    <row r="8" customFormat="false" ht="15" hidden="false" customHeight="false" outlineLevel="0" collapsed="false">
      <c r="A8" s="4" t="s">
        <v>11</v>
      </c>
      <c r="B8" s="5" t="n">
        <v>0.1</v>
      </c>
      <c r="C8" s="6" t="n">
        <v>2</v>
      </c>
      <c r="D8" s="6" t="n">
        <v>3</v>
      </c>
      <c r="E8" s="6" t="n">
        <v>3</v>
      </c>
      <c r="F8" s="6" t="n">
        <v>2</v>
      </c>
    </row>
    <row r="9" customFormat="false" ht="15" hidden="false" customHeight="false" outlineLevel="0" collapsed="false">
      <c r="A9" s="4" t="s">
        <v>12</v>
      </c>
      <c r="B9" s="5" t="n">
        <v>0.1</v>
      </c>
      <c r="C9" s="6" t="n">
        <v>1</v>
      </c>
      <c r="D9" s="6" t="n">
        <v>3</v>
      </c>
      <c r="E9" s="6" t="n">
        <v>3</v>
      </c>
      <c r="F9" s="6" t="n">
        <v>1</v>
      </c>
    </row>
    <row r="10" customFormat="false" ht="15" hidden="false" customHeight="false" outlineLevel="0" collapsed="false">
      <c r="A10" s="4" t="s">
        <v>13</v>
      </c>
      <c r="B10" s="5" t="n">
        <v>0.05</v>
      </c>
      <c r="C10" s="6" t="n">
        <v>2</v>
      </c>
      <c r="D10" s="6" t="n">
        <v>3</v>
      </c>
      <c r="E10" s="6" t="n">
        <v>3</v>
      </c>
      <c r="F10" s="6" t="n">
        <v>1</v>
      </c>
    </row>
    <row r="11" customFormat="false" ht="15" hidden="false" customHeight="false" outlineLevel="0" collapsed="false">
      <c r="A11" s="4" t="s">
        <v>14</v>
      </c>
      <c r="B11" s="5" t="n">
        <v>0.1</v>
      </c>
      <c r="C11" s="6" t="n">
        <v>2</v>
      </c>
      <c r="D11" s="6" t="n">
        <v>3</v>
      </c>
      <c r="E11" s="6" t="n">
        <v>3</v>
      </c>
      <c r="F11" s="6" t="n">
        <v>3</v>
      </c>
    </row>
    <row r="12" customFormat="false" ht="15" hidden="false" customHeight="false" outlineLevel="0" collapsed="false">
      <c r="A12" s="4" t="s">
        <v>15</v>
      </c>
      <c r="B12" s="5" t="n">
        <v>0.05</v>
      </c>
      <c r="C12" s="6" t="n">
        <v>1</v>
      </c>
      <c r="D12" s="6" t="n">
        <v>4</v>
      </c>
      <c r="E12" s="6" t="n">
        <v>3</v>
      </c>
      <c r="F12" s="6" t="n">
        <v>1</v>
      </c>
    </row>
    <row r="13" customFormat="false" ht="15" hidden="false" customHeight="false" outlineLevel="0" collapsed="false">
      <c r="A13" s="4" t="s">
        <v>16</v>
      </c>
      <c r="B13" s="5" t="n">
        <v>0.05</v>
      </c>
      <c r="C13" s="6" t="n">
        <v>1</v>
      </c>
      <c r="D13" s="6" t="n">
        <v>4</v>
      </c>
      <c r="E13" s="6" t="n">
        <v>4</v>
      </c>
      <c r="F13" s="6" t="n">
        <v>1</v>
      </c>
    </row>
    <row r="14" customFormat="false" ht="15" hidden="false" customHeight="false" outlineLevel="0" collapsed="false">
      <c r="A14" s="4" t="s">
        <v>17</v>
      </c>
      <c r="B14" s="5" t="n">
        <v>0.05</v>
      </c>
      <c r="C14" s="6" t="n">
        <v>4</v>
      </c>
      <c r="D14" s="6" t="n">
        <v>2</v>
      </c>
      <c r="E14" s="6" t="n">
        <v>4</v>
      </c>
      <c r="F14" s="6" t="n">
        <v>4</v>
      </c>
    </row>
    <row r="15" customFormat="false" ht="15" hidden="false" customHeight="false" outlineLevel="0" collapsed="false">
      <c r="A15" s="4" t="s">
        <v>18</v>
      </c>
      <c r="B15" s="5" t="n">
        <v>0.05</v>
      </c>
      <c r="C15" s="6" t="n">
        <v>1</v>
      </c>
      <c r="D15" s="6" t="n">
        <v>4</v>
      </c>
      <c r="E15" s="6" t="n">
        <v>4</v>
      </c>
      <c r="F15" s="6" t="n">
        <v>2</v>
      </c>
    </row>
    <row r="16" customFormat="false" ht="15" hidden="false" customHeight="false" outlineLevel="0" collapsed="false">
      <c r="A16" s="4" t="s">
        <v>19</v>
      </c>
      <c r="B16" s="7" t="n">
        <f aca="false">SUM(B5:B15)</f>
        <v>1</v>
      </c>
    </row>
    <row r="17" customFormat="false" ht="15" hidden="false" customHeight="false" outlineLevel="0" collapsed="false">
      <c r="A17" s="4" t="s">
        <v>20</v>
      </c>
      <c r="C17" s="8" t="n">
        <f aca="false">SUMPRODUCT($B$5:$B$15,C5:C15)</f>
        <v>1.4</v>
      </c>
      <c r="D17" s="8" t="n">
        <f aca="false">SUMPRODUCT($B$5:$B$15,D5:D15)</f>
        <v>3.55</v>
      </c>
      <c r="E17" s="8" t="n">
        <f aca="false">SUMPRODUCT($B$5:$B$15,E5:E15)</f>
        <v>3.6</v>
      </c>
      <c r="F17" s="8" t="n">
        <f aca="false">SUMPRODUCT($B$5:$B$15,F5:F15)</f>
        <v>1.7</v>
      </c>
    </row>
    <row r="18" customFormat="false" ht="15" hidden="false" customHeight="false" outlineLevel="0" collapsed="false">
      <c r="A18" s="4" t="s">
        <v>21</v>
      </c>
      <c r="C18" s="9" t="n">
        <f aca="false">RANK(C17,$C$17:$F$17)</f>
        <v>4</v>
      </c>
      <c r="D18" s="9" t="n">
        <f aca="false">RANK(D17,$C$17:$F$17)</f>
        <v>2</v>
      </c>
      <c r="E18" s="9" t="n">
        <f aca="false">RANK(E17,$C$17:$F$17)</f>
        <v>1</v>
      </c>
      <c r="F18" s="9" t="n">
        <f aca="false">RANK(F17,$C$17:$F$17)</f>
        <v>3</v>
      </c>
    </row>
    <row r="20" customFormat="false" ht="15" hidden="false" customHeight="false" outlineLevel="0" collapsed="false">
      <c r="A20" s="10" t="s">
        <v>22</v>
      </c>
    </row>
    <row r="22" customFormat="false" ht="15" hidden="false" customHeight="false" outlineLevel="0" collapsed="false">
      <c r="A22" s="11" t="s">
        <v>23</v>
      </c>
      <c r="B22" s="12"/>
      <c r="C22" s="12"/>
      <c r="D22" s="12"/>
      <c r="E22" s="12"/>
      <c r="F22" s="12"/>
    </row>
    <row r="23" customFormat="false" ht="15" hidden="false" customHeight="false" outlineLevel="0" collapsed="false">
      <c r="A23" s="3" t="s">
        <v>24</v>
      </c>
      <c r="B23" s="3" t="s">
        <v>25</v>
      </c>
    </row>
    <row r="24" customFormat="false" ht="158.2" hidden="false" customHeight="false" outlineLevel="0" collapsed="false">
      <c r="A24" s="13" t="s">
        <v>26</v>
      </c>
      <c r="B24" s="13" t="s">
        <v>27</v>
      </c>
    </row>
    <row r="25" customFormat="false" ht="135.8" hidden="false" customHeight="false" outlineLevel="0" collapsed="false">
      <c r="A25" s="13" t="s">
        <v>28</v>
      </c>
      <c r="B25" s="13" t="s">
        <v>29</v>
      </c>
    </row>
    <row r="26" customFormat="false" ht="124.6" hidden="false" customHeight="false" outlineLevel="0" collapsed="false">
      <c r="A26" s="13" t="s">
        <v>30</v>
      </c>
      <c r="B26" s="13" t="s">
        <v>31</v>
      </c>
    </row>
    <row r="27" customFormat="false" ht="102.2" hidden="false" customHeight="false" outlineLevel="0" collapsed="false">
      <c r="A27" s="13" t="s">
        <v>32</v>
      </c>
      <c r="B27" s="13" t="s">
        <v>33</v>
      </c>
    </row>
  </sheetData>
  <conditionalFormatting sqref="C5:F15">
    <cfRule type="colorScale" priority="2">
      <colorScale>
        <cfvo type="num" val="1"/>
        <cfvo type="num" val="3"/>
        <cfvo type="num" val="5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3" style="0" width="26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36</v>
      </c>
      <c r="D4" s="3" t="s">
        <v>37</v>
      </c>
      <c r="E4" s="3" t="s">
        <v>38</v>
      </c>
    </row>
    <row r="5" customFormat="false" ht="15" hidden="false" customHeight="false" outlineLevel="0" collapsed="false">
      <c r="A5" s="4" t="s">
        <v>39</v>
      </c>
      <c r="B5" s="5" t="n">
        <v>0.2</v>
      </c>
      <c r="C5" s="6" t="n">
        <v>2</v>
      </c>
      <c r="D5" s="6" t="n">
        <v>4</v>
      </c>
      <c r="E5" s="6" t="n">
        <v>4</v>
      </c>
    </row>
    <row r="6" customFormat="false" ht="15" hidden="false" customHeight="false" outlineLevel="0" collapsed="false">
      <c r="A6" s="4" t="s">
        <v>40</v>
      </c>
      <c r="B6" s="5" t="n">
        <v>0.15</v>
      </c>
      <c r="C6" s="6" t="n">
        <v>2</v>
      </c>
      <c r="D6" s="6" t="n">
        <v>4</v>
      </c>
      <c r="E6" s="6" t="n">
        <v>3</v>
      </c>
    </row>
    <row r="7" customFormat="false" ht="15" hidden="false" customHeight="false" outlineLevel="0" collapsed="false">
      <c r="A7" s="4" t="s">
        <v>41</v>
      </c>
      <c r="B7" s="5" t="n">
        <v>0.15</v>
      </c>
      <c r="C7" s="6" t="n">
        <v>2</v>
      </c>
      <c r="D7" s="6" t="n">
        <v>4</v>
      </c>
      <c r="E7" s="6" t="n">
        <v>4</v>
      </c>
    </row>
    <row r="8" customFormat="false" ht="15" hidden="false" customHeight="false" outlineLevel="0" collapsed="false">
      <c r="A8" s="4" t="s">
        <v>42</v>
      </c>
      <c r="B8" s="5" t="n">
        <v>0.15</v>
      </c>
      <c r="C8" s="6" t="n">
        <v>3</v>
      </c>
      <c r="D8" s="6" t="n">
        <v>4</v>
      </c>
      <c r="E8" s="6" t="n">
        <v>3</v>
      </c>
    </row>
    <row r="9" customFormat="false" ht="15" hidden="false" customHeight="false" outlineLevel="0" collapsed="false">
      <c r="A9" s="4" t="s">
        <v>43</v>
      </c>
      <c r="B9" s="5" t="n">
        <v>0.05</v>
      </c>
      <c r="C9" s="6" t="n">
        <v>3</v>
      </c>
      <c r="D9" s="6" t="n">
        <v>3</v>
      </c>
      <c r="E9" s="6" t="n">
        <v>2</v>
      </c>
    </row>
    <row r="10" customFormat="false" ht="15" hidden="false" customHeight="false" outlineLevel="0" collapsed="false">
      <c r="A10" s="4" t="s">
        <v>44</v>
      </c>
      <c r="B10" s="5" t="n">
        <v>0.15</v>
      </c>
      <c r="C10" s="6" t="n">
        <v>3</v>
      </c>
      <c r="D10" s="6" t="n">
        <v>4</v>
      </c>
      <c r="E10" s="6" t="n">
        <v>5</v>
      </c>
    </row>
    <row r="11" customFormat="false" ht="15" hidden="false" customHeight="false" outlineLevel="0" collapsed="false">
      <c r="A11" s="4" t="s">
        <v>45</v>
      </c>
      <c r="B11" s="5" t="n">
        <v>0.1</v>
      </c>
      <c r="C11" s="6" t="n">
        <v>3</v>
      </c>
      <c r="D11" s="6" t="n">
        <v>4</v>
      </c>
      <c r="E11" s="6" t="n">
        <v>1</v>
      </c>
    </row>
    <row r="12" customFormat="false" ht="15" hidden="false" customHeight="false" outlineLevel="0" collapsed="false">
      <c r="A12" s="4" t="s">
        <v>46</v>
      </c>
      <c r="B12" s="5" t="n">
        <v>0.05</v>
      </c>
      <c r="C12" s="6" t="n">
        <v>2</v>
      </c>
      <c r="D12" s="6" t="n">
        <v>3</v>
      </c>
      <c r="E12" s="6" t="n">
        <v>2</v>
      </c>
    </row>
    <row r="13" customFormat="false" ht="15" hidden="false" customHeight="false" outlineLevel="0" collapsed="false">
      <c r="A13" s="4" t="s">
        <v>19</v>
      </c>
      <c r="B13" s="7" t="n">
        <f aca="false">SUM(B5:B12)</f>
        <v>1</v>
      </c>
    </row>
    <row r="14" customFormat="false" ht="15" hidden="false" customHeight="false" outlineLevel="0" collapsed="false">
      <c r="A14" s="4" t="s">
        <v>20</v>
      </c>
      <c r="C14" s="8" t="n">
        <f aca="false">SUMPRODUCT($B$5:$B$12,C5:C12)</f>
        <v>2.45</v>
      </c>
      <c r="D14" s="8" t="n">
        <f aca="false">SUMPRODUCT($B$5:$B$12,D5:D12)</f>
        <v>3.9</v>
      </c>
      <c r="E14" s="8" t="n">
        <f aca="false">SUMPRODUCT($B$5:$B$12,E5:E12)</f>
        <v>3.35</v>
      </c>
    </row>
    <row r="15" customFormat="false" ht="15" hidden="false" customHeight="false" outlineLevel="0" collapsed="false">
      <c r="A15" s="4" t="s">
        <v>21</v>
      </c>
      <c r="C15" s="9" t="n">
        <f aca="false">RANK(C14,$C$14:$E$14)</f>
        <v>3</v>
      </c>
      <c r="D15" s="9" t="n">
        <f aca="false">RANK(D14,$C$14:$E$14)</f>
        <v>1</v>
      </c>
      <c r="E15" s="9" t="n">
        <f aca="false">RANK(E14,$C$14:$E$14)</f>
        <v>2</v>
      </c>
    </row>
    <row r="17" customFormat="false" ht="15" hidden="false" customHeight="false" outlineLevel="0" collapsed="false">
      <c r="A17" s="10" t="s">
        <v>47</v>
      </c>
    </row>
  </sheetData>
  <conditionalFormatting sqref="C5:E12">
    <cfRule type="colorScale" priority="2">
      <colorScale>
        <cfvo type="num" val="1"/>
        <cfvo type="num" val="3"/>
        <cfvo type="num" val="5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22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41.75" hidden="false" customHeight="false" outlineLevel="0" collapsed="false">
      <c r="A4" s="3" t="s">
        <v>2</v>
      </c>
      <c r="B4" s="3" t="s">
        <v>3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</row>
    <row r="5" customFormat="false" ht="15" hidden="false" customHeight="false" outlineLevel="0" collapsed="false">
      <c r="A5" s="4" t="s">
        <v>55</v>
      </c>
      <c r="B5" s="5" t="n">
        <v>0.2</v>
      </c>
      <c r="C5" s="6" t="n">
        <v>4</v>
      </c>
      <c r="D5" s="6" t="n">
        <v>4</v>
      </c>
      <c r="E5" s="6" t="n">
        <v>2</v>
      </c>
      <c r="F5" s="6" t="n">
        <v>2</v>
      </c>
      <c r="G5" s="6" t="n">
        <v>5</v>
      </c>
    </row>
    <row r="6" customFormat="false" ht="15" hidden="false" customHeight="false" outlineLevel="0" collapsed="false">
      <c r="A6" s="4" t="s">
        <v>56</v>
      </c>
      <c r="B6" s="5" t="n">
        <v>0.25</v>
      </c>
      <c r="C6" s="6" t="n">
        <v>4</v>
      </c>
      <c r="D6" s="6" t="n">
        <v>4</v>
      </c>
      <c r="E6" s="6" t="n">
        <v>4</v>
      </c>
      <c r="F6" s="6" t="n">
        <v>1</v>
      </c>
      <c r="G6" s="6" t="n">
        <v>4</v>
      </c>
    </row>
    <row r="7" customFormat="false" ht="15" hidden="false" customHeight="false" outlineLevel="0" collapsed="false">
      <c r="A7" s="4" t="s">
        <v>57</v>
      </c>
      <c r="B7" s="5" t="n">
        <v>0.15</v>
      </c>
      <c r="C7" s="6" t="n">
        <v>4</v>
      </c>
      <c r="D7" s="6" t="n">
        <v>4</v>
      </c>
      <c r="E7" s="6" t="n">
        <v>2</v>
      </c>
      <c r="F7" s="6" t="n">
        <v>1</v>
      </c>
      <c r="G7" s="6" t="n">
        <v>4</v>
      </c>
    </row>
    <row r="8" customFormat="false" ht="15" hidden="false" customHeight="false" outlineLevel="0" collapsed="false">
      <c r="A8" s="4" t="s">
        <v>58</v>
      </c>
      <c r="B8" s="5" t="n">
        <v>0.15</v>
      </c>
      <c r="C8" s="6" t="n">
        <v>4</v>
      </c>
      <c r="D8" s="6" t="n">
        <v>4</v>
      </c>
      <c r="E8" s="6" t="n">
        <v>5</v>
      </c>
      <c r="F8" s="6" t="n">
        <v>4</v>
      </c>
      <c r="G8" s="6" t="n">
        <v>2</v>
      </c>
    </row>
    <row r="9" customFormat="false" ht="15" hidden="false" customHeight="false" outlineLevel="0" collapsed="false">
      <c r="A9" s="4" t="s">
        <v>59</v>
      </c>
      <c r="B9" s="5" t="n">
        <v>0.1</v>
      </c>
      <c r="C9" s="6" t="n">
        <v>3</v>
      </c>
      <c r="D9" s="6" t="n">
        <v>4</v>
      </c>
      <c r="E9" s="6" t="n">
        <v>2</v>
      </c>
      <c r="F9" s="6" t="n">
        <v>4</v>
      </c>
      <c r="G9" s="6" t="n">
        <v>4</v>
      </c>
    </row>
    <row r="10" customFormat="false" ht="15" hidden="false" customHeight="false" outlineLevel="0" collapsed="false">
      <c r="A10" s="4" t="s">
        <v>60</v>
      </c>
      <c r="B10" s="5" t="n">
        <v>0.15</v>
      </c>
      <c r="C10" s="6" t="n">
        <v>4</v>
      </c>
      <c r="D10" s="6" t="n">
        <v>4</v>
      </c>
      <c r="E10" s="6" t="n">
        <v>4</v>
      </c>
      <c r="F10" s="6" t="n">
        <v>3</v>
      </c>
      <c r="G10" s="6" t="n">
        <v>2</v>
      </c>
    </row>
    <row r="11" customFormat="false" ht="15" hidden="false" customHeight="false" outlineLevel="0" collapsed="false">
      <c r="A11" s="4" t="s">
        <v>19</v>
      </c>
      <c r="B11" s="7" t="n">
        <f aca="false">SUM(B5:B10)</f>
        <v>1</v>
      </c>
    </row>
    <row r="12" customFormat="false" ht="15" hidden="false" customHeight="false" outlineLevel="0" collapsed="false">
      <c r="A12" s="4" t="s">
        <v>20</v>
      </c>
      <c r="C12" s="8" t="n">
        <f aca="false">SUMPRODUCT($B$5:$B$10,C5:C10)</f>
        <v>3.9</v>
      </c>
      <c r="D12" s="8" t="n">
        <f aca="false">SUMPRODUCT($B$5:$B$10,D5:D10)</f>
        <v>4</v>
      </c>
      <c r="E12" s="8" t="n">
        <f aca="false">SUMPRODUCT($B$5:$B$10,E5:E10)</f>
        <v>3.25</v>
      </c>
      <c r="F12" s="8" t="n">
        <f aca="false">SUMPRODUCT($B$5:$B$10,F5:F10)</f>
        <v>2.25</v>
      </c>
      <c r="G12" s="8" t="n">
        <f aca="false">SUMPRODUCT($B$5:$B$10,G5:G10)</f>
        <v>3.6</v>
      </c>
    </row>
    <row r="13" customFormat="false" ht="15" hidden="false" customHeight="false" outlineLevel="0" collapsed="false">
      <c r="A13" s="4" t="s">
        <v>21</v>
      </c>
      <c r="C13" s="9" t="n">
        <f aca="false">RANK(C12,$C$12:$G$12)</f>
        <v>2</v>
      </c>
      <c r="D13" s="9" t="n">
        <f aca="false">RANK(D12,$C$12:$G$12)</f>
        <v>1</v>
      </c>
      <c r="E13" s="9" t="n">
        <f aca="false">RANK(E12,$C$12:$G$12)</f>
        <v>4</v>
      </c>
      <c r="F13" s="9" t="n">
        <f aca="false">RANK(F12,$C$12:$G$12)</f>
        <v>5</v>
      </c>
      <c r="G13" s="9" t="n">
        <f aca="false">RANK(G12,$C$12:$G$12)</f>
        <v>3</v>
      </c>
    </row>
    <row r="15" customFormat="false" ht="15" hidden="false" customHeight="false" outlineLevel="0" collapsed="false">
      <c r="A15" s="10" t="s">
        <v>61</v>
      </c>
    </row>
  </sheetData>
  <conditionalFormatting sqref="C5:G10">
    <cfRule type="colorScale" priority="2">
      <colorScale>
        <cfvo type="num" val="1"/>
        <cfvo type="num" val="3"/>
        <cfvo type="num" val="5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</row>
    <row r="5" customFormat="false" ht="15" hidden="false" customHeight="false" outlineLevel="0" collapsed="false">
      <c r="A5" s="13" t="s">
        <v>72</v>
      </c>
      <c r="B5" s="13" t="s">
        <v>73</v>
      </c>
      <c r="C5" s="13" t="s">
        <v>74</v>
      </c>
      <c r="D5" s="13" t="s">
        <v>75</v>
      </c>
      <c r="E5" s="13" t="s">
        <v>76</v>
      </c>
      <c r="F5" s="13" t="s">
        <v>77</v>
      </c>
      <c r="G5" s="13" t="s">
        <v>78</v>
      </c>
      <c r="H5" s="13" t="s">
        <v>79</v>
      </c>
    </row>
    <row r="6" customFormat="false" ht="23.85" hidden="false" customHeight="false" outlineLevel="0" collapsed="false">
      <c r="A6" s="13" t="s">
        <v>80</v>
      </c>
      <c r="B6" s="13" t="s">
        <v>81</v>
      </c>
      <c r="C6" s="13" t="s">
        <v>79</v>
      </c>
      <c r="D6" s="13" t="s">
        <v>82</v>
      </c>
      <c r="E6" s="13" t="s">
        <v>83</v>
      </c>
      <c r="F6" s="13" t="s">
        <v>84</v>
      </c>
      <c r="G6" s="13" t="s">
        <v>85</v>
      </c>
      <c r="H6" s="13" t="s">
        <v>72</v>
      </c>
    </row>
    <row r="7" customFormat="false" ht="23.85" hidden="false" customHeight="false" outlineLevel="0" collapsed="false">
      <c r="A7" s="13" t="s">
        <v>86</v>
      </c>
      <c r="B7" s="13" t="s">
        <v>87</v>
      </c>
      <c r="C7" s="13" t="s">
        <v>88</v>
      </c>
      <c r="D7" s="13" t="s">
        <v>89</v>
      </c>
      <c r="E7" s="13" t="s">
        <v>90</v>
      </c>
      <c r="F7" s="13" t="s">
        <v>91</v>
      </c>
      <c r="G7" s="13" t="s">
        <v>92</v>
      </c>
      <c r="H7" s="13" t="s">
        <v>80</v>
      </c>
    </row>
    <row r="8" customFormat="false" ht="15" hidden="false" customHeight="false" outlineLevel="0" collapsed="false">
      <c r="A8" s="13" t="s">
        <v>93</v>
      </c>
      <c r="B8" s="13" t="s">
        <v>94</v>
      </c>
      <c r="C8" s="13" t="s">
        <v>79</v>
      </c>
      <c r="D8" s="13" t="s">
        <v>95</v>
      </c>
      <c r="E8" s="13" t="s">
        <v>79</v>
      </c>
      <c r="F8" s="13" t="s">
        <v>77</v>
      </c>
      <c r="G8" s="13" t="s">
        <v>96</v>
      </c>
      <c r="H8" s="13" t="s">
        <v>79</v>
      </c>
    </row>
    <row r="9" customFormat="false" ht="23.85" hidden="false" customHeight="false" outlineLevel="0" collapsed="false">
      <c r="A9" s="13" t="s">
        <v>97</v>
      </c>
      <c r="B9" s="13" t="s">
        <v>98</v>
      </c>
      <c r="C9" s="13" t="s">
        <v>99</v>
      </c>
      <c r="D9" s="13" t="s">
        <v>100</v>
      </c>
      <c r="E9" s="13" t="s">
        <v>101</v>
      </c>
      <c r="F9" s="13" t="s">
        <v>102</v>
      </c>
      <c r="G9" s="13" t="s">
        <v>103</v>
      </c>
      <c r="H9" s="13" t="s">
        <v>72</v>
      </c>
    </row>
    <row r="10" customFormat="false" ht="15" hidden="false" customHeight="false" outlineLevel="0" collapsed="false">
      <c r="A10" s="13" t="s">
        <v>104</v>
      </c>
      <c r="B10" s="13" t="s">
        <v>105</v>
      </c>
      <c r="C10" s="13" t="s">
        <v>79</v>
      </c>
      <c r="D10" s="13" t="s">
        <v>106</v>
      </c>
      <c r="E10" s="13" t="s">
        <v>107</v>
      </c>
      <c r="F10" s="13" t="s">
        <v>77</v>
      </c>
      <c r="G10" s="13" t="s">
        <v>108</v>
      </c>
      <c r="H10" s="13" t="s">
        <v>79</v>
      </c>
    </row>
    <row r="11" customFormat="false" ht="15" hidden="false" customHeight="false" outlineLevel="0" collapsed="false">
      <c r="A11" s="13" t="s">
        <v>109</v>
      </c>
      <c r="B11" s="13" t="s">
        <v>110</v>
      </c>
      <c r="C11" s="13" t="s">
        <v>111</v>
      </c>
      <c r="D11" s="13" t="s">
        <v>112</v>
      </c>
      <c r="E11" s="13" t="s">
        <v>113</v>
      </c>
      <c r="F11" s="13" t="s">
        <v>77</v>
      </c>
      <c r="G11" s="13" t="s">
        <v>114</v>
      </c>
      <c r="H11" s="13" t="s">
        <v>79</v>
      </c>
    </row>
    <row r="12" customFormat="false" ht="23.85" hidden="false" customHeight="false" outlineLevel="0" collapsed="false">
      <c r="A12" s="13" t="s">
        <v>115</v>
      </c>
      <c r="B12" s="13" t="s">
        <v>116</v>
      </c>
      <c r="C12" s="13" t="s">
        <v>117</v>
      </c>
      <c r="D12" s="13" t="s">
        <v>118</v>
      </c>
      <c r="E12" s="13" t="s">
        <v>119</v>
      </c>
      <c r="F12" s="13" t="s">
        <v>120</v>
      </c>
      <c r="G12" s="13" t="s">
        <v>114</v>
      </c>
      <c r="H12" s="13" t="s">
        <v>72</v>
      </c>
    </row>
    <row r="13" customFormat="false" ht="23.85" hidden="false" customHeight="false" outlineLevel="0" collapsed="false">
      <c r="A13" s="13" t="s">
        <v>121</v>
      </c>
      <c r="B13" s="13" t="s">
        <v>122</v>
      </c>
      <c r="C13" s="13" t="s">
        <v>123</v>
      </c>
      <c r="D13" s="13" t="s">
        <v>124</v>
      </c>
      <c r="E13" s="13" t="s">
        <v>125</v>
      </c>
      <c r="F13" s="13" t="s">
        <v>77</v>
      </c>
      <c r="G13" s="13" t="s">
        <v>92</v>
      </c>
      <c r="H13" s="13" t="s">
        <v>126</v>
      </c>
    </row>
    <row r="14" customFormat="false" ht="23.85" hidden="false" customHeight="false" outlineLevel="0" collapsed="false">
      <c r="A14" s="13" t="s">
        <v>127</v>
      </c>
      <c r="B14" s="13" t="s">
        <v>128</v>
      </c>
      <c r="C14" s="13" t="s">
        <v>129</v>
      </c>
      <c r="D14" s="13" t="s">
        <v>130</v>
      </c>
      <c r="E14" s="13" t="s">
        <v>131</v>
      </c>
      <c r="F14" s="13" t="s">
        <v>132</v>
      </c>
      <c r="G14" s="13" t="s">
        <v>133</v>
      </c>
      <c r="H14" s="13" t="s">
        <v>134</v>
      </c>
    </row>
    <row r="15" customFormat="false" ht="23.85" hidden="false" customHeight="false" outlineLevel="0" collapsed="false">
      <c r="A15" s="13" t="s">
        <v>135</v>
      </c>
      <c r="B15" s="13" t="s">
        <v>136</v>
      </c>
      <c r="C15" s="13" t="s">
        <v>137</v>
      </c>
      <c r="D15" s="13" t="s">
        <v>138</v>
      </c>
      <c r="E15" s="13" t="s">
        <v>139</v>
      </c>
      <c r="F15" s="13" t="s">
        <v>140</v>
      </c>
      <c r="G15" s="13" t="s">
        <v>133</v>
      </c>
      <c r="H15" s="13" t="s">
        <v>80</v>
      </c>
    </row>
    <row r="16" customFormat="false" ht="35.05" hidden="false" customHeight="false" outlineLevel="0" collapsed="false">
      <c r="A16" s="13" t="s">
        <v>141</v>
      </c>
      <c r="B16" s="13" t="s">
        <v>142</v>
      </c>
      <c r="C16" s="13" t="s">
        <v>143</v>
      </c>
      <c r="D16" s="13" t="s">
        <v>144</v>
      </c>
      <c r="E16" s="13" t="s">
        <v>145</v>
      </c>
      <c r="F16" s="13" t="s">
        <v>77</v>
      </c>
      <c r="G16" s="13" t="s">
        <v>146</v>
      </c>
      <c r="H16" s="13" t="s">
        <v>147</v>
      </c>
    </row>
    <row r="17" customFormat="false" ht="23.85" hidden="false" customHeight="false" outlineLevel="0" collapsed="false">
      <c r="A17" s="13" t="s">
        <v>148</v>
      </c>
      <c r="B17" s="13" t="s">
        <v>149</v>
      </c>
      <c r="C17" s="13" t="s">
        <v>150</v>
      </c>
      <c r="D17" s="13" t="s">
        <v>151</v>
      </c>
      <c r="E17" s="13" t="s">
        <v>152</v>
      </c>
      <c r="F17" s="13" t="s">
        <v>77</v>
      </c>
      <c r="G17" s="13" t="s">
        <v>153</v>
      </c>
      <c r="H17" s="13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3" t="s">
        <v>64</v>
      </c>
      <c r="B4" s="3" t="s">
        <v>157</v>
      </c>
      <c r="C4" s="3" t="s">
        <v>158</v>
      </c>
      <c r="D4" s="3" t="s">
        <v>159</v>
      </c>
    </row>
    <row r="5" customFormat="false" ht="23.85" hidden="false" customHeight="false" outlineLevel="0" collapsed="false">
      <c r="A5" s="4" t="s">
        <v>160</v>
      </c>
      <c r="B5" s="13" t="s">
        <v>161</v>
      </c>
      <c r="C5" s="13" t="s">
        <v>162</v>
      </c>
      <c r="D5" s="6" t="n">
        <v>0</v>
      </c>
    </row>
    <row r="6" customFormat="false" ht="23.85" hidden="false" customHeight="false" outlineLevel="0" collapsed="false">
      <c r="A6" s="4" t="s">
        <v>163</v>
      </c>
      <c r="B6" s="13" t="s">
        <v>164</v>
      </c>
      <c r="C6" s="13" t="s">
        <v>165</v>
      </c>
      <c r="D6" s="6" t="n">
        <v>0</v>
      </c>
    </row>
    <row r="7" customFormat="false" ht="23.85" hidden="false" customHeight="false" outlineLevel="0" collapsed="false">
      <c r="A7" s="4" t="s">
        <v>166</v>
      </c>
      <c r="B7" s="13" t="s">
        <v>167</v>
      </c>
      <c r="C7" s="13" t="s">
        <v>168</v>
      </c>
      <c r="D7" s="6" t="n">
        <v>0</v>
      </c>
    </row>
    <row r="8" customFormat="false" ht="23.85" hidden="false" customHeight="false" outlineLevel="0" collapsed="false">
      <c r="A8" s="4" t="s">
        <v>169</v>
      </c>
      <c r="B8" s="13" t="s">
        <v>170</v>
      </c>
      <c r="C8" s="13" t="s">
        <v>171</v>
      </c>
      <c r="D8" s="6" t="n">
        <v>0</v>
      </c>
    </row>
    <row r="9" customFormat="false" ht="15" hidden="false" customHeight="false" outlineLevel="0" collapsed="false">
      <c r="A9" s="4" t="s">
        <v>172</v>
      </c>
      <c r="B9" s="13" t="s">
        <v>173</v>
      </c>
      <c r="C9" s="13" t="s">
        <v>174</v>
      </c>
      <c r="D9" s="6" t="n">
        <v>0</v>
      </c>
    </row>
    <row r="10" customFormat="false" ht="15" hidden="false" customHeight="false" outlineLevel="0" collapsed="false">
      <c r="A10" s="4" t="s">
        <v>175</v>
      </c>
      <c r="B10" s="13" t="s">
        <v>176</v>
      </c>
      <c r="C10" s="13" t="s">
        <v>177</v>
      </c>
      <c r="D10" s="6" t="n">
        <v>0</v>
      </c>
    </row>
    <row r="11" customFormat="false" ht="15" hidden="false" customHeight="false" outlineLevel="0" collapsed="false">
      <c r="A11" s="4" t="s">
        <v>178</v>
      </c>
      <c r="B11" s="13" t="s">
        <v>179</v>
      </c>
      <c r="C11" s="13" t="s">
        <v>180</v>
      </c>
      <c r="D11" s="6" t="n">
        <v>0</v>
      </c>
    </row>
    <row r="12" customFormat="false" ht="15" hidden="false" customHeight="false" outlineLevel="0" collapsed="false">
      <c r="A12" s="4" t="s">
        <v>181</v>
      </c>
      <c r="B12" s="13" t="s">
        <v>182</v>
      </c>
      <c r="C12" s="13" t="s">
        <v>183</v>
      </c>
      <c r="D12" s="6" t="n">
        <v>0</v>
      </c>
    </row>
    <row r="14" customFormat="false" ht="15" hidden="false" customHeight="false" outlineLevel="0" collapsed="false">
      <c r="B14" s="4" t="s">
        <v>184</v>
      </c>
      <c r="D14" s="9" t="n">
        <f aca="false">SUM(D5:D12)</f>
        <v>0</v>
      </c>
    </row>
    <row r="15" customFormat="false" ht="15" hidden="false" customHeight="false" outlineLevel="0" collapsed="false">
      <c r="B15" s="4" t="s">
        <v>185</v>
      </c>
      <c r="D15" s="14" t="str">
        <f aca="false">IF(D14=8,"GO a primer pedido piloto",IF(AND(D5=1,D6=1),"CONDITIONAL GO: continuar Fases 1–3","NO-GO a compromiso de capital: sólo Fase 0"))</f>
        <v>NO-GO a compromiso de capital: sólo Fase 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2026-10-10T19:38:30Z</dcterms:created>
  <dc:creator>openpyxl</dc:creator>
  <dc:description/>
  <dc:language>en-US</dc:language>
  <cp:lastModifiedBy/>
  <dcterms:modified xsi:type="dcterms:W3CDTF">2026-10-10T19:38:30Z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