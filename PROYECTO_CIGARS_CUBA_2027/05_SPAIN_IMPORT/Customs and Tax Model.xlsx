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adora DUA" sheetId="1" state="visible" r:id="rId3"/>
    <sheet name="Comparativa por origen" sheetId="2" state="visible" r:id="rId4"/>
    <sheet name="Obligaciones por operad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<sst xmlns="http://schemas.openxmlformats.org/spreadsheetml/2006/main" count="70" uniqueCount="67">
  <si>
    <t xml:space="preserve">Modelo aduanero y fiscal de importación de cigarros (España, península y Baleares)</t>
  </si>
  <si>
    <t xml:space="preserve">Calculadora por envío y comparativa por origen. Valores azules editables. Canarias, Ceuta y Melilla tienen régimen distinto (no modelizado).</t>
  </si>
  <si>
    <t xml:space="preserve">Supuesto editable (input)</t>
  </si>
  <si>
    <t xml:space="preserve">Fórmula</t>
  </si>
  <si>
    <t xml:space="preserve">Resultado clave</t>
  </si>
  <si>
    <t xml:space="preserve">Alerta / bloqueo</t>
  </si>
  <si>
    <t xml:space="preserve">Unidades del envío</t>
  </si>
  <si>
    <t xml:space="preserve">Precio FOB por unidad (USD)</t>
  </si>
  <si>
    <t xml:space="preserve">USD por EUR</t>
  </si>
  <si>
    <t xml:space="preserve">Packaging por unidad si no está en FOB (€)</t>
  </si>
  <si>
    <t xml:space="preserve">Flete internacional del envío (€)</t>
  </si>
  <si>
    <t xml:space="preserve">Seguro (% sobre FOB+flete)</t>
  </si>
  <si>
    <t xml:space="preserve">PVP por unidad en expendeduría (€)</t>
  </si>
  <si>
    <t xml:space="preserve">Tipo arancelario aplicable</t>
  </si>
  <si>
    <t xml:space="preserve">IEE ad valorem</t>
  </si>
  <si>
    <t xml:space="preserve">IEE mínimo €/1.000 u</t>
  </si>
  <si>
    <t xml:space="preserve">IVA</t>
  </si>
  <si>
    <t xml:space="preserve">Despacho, agente, inspección (€)</t>
  </si>
  <si>
    <t xml:space="preserve">Marcas fiscales + UI (€/u)</t>
  </si>
  <si>
    <t xml:space="preserve">IEE al importar (1) o en depósito fiscal (0)</t>
  </si>
  <si>
    <t xml:space="preserve">Valor FOB del envío (€)</t>
  </si>
  <si>
    <t xml:space="preserve">Valor en aduana (CIF) (€)</t>
  </si>
  <si>
    <t xml:space="preserve">Derecho arancelario (€)</t>
  </si>
  <si>
    <t xml:space="preserve">IEE devengado (€)</t>
  </si>
  <si>
    <t xml:space="preserve">IEE pagado en frontera (€)</t>
  </si>
  <si>
    <t xml:space="preserve">Base imponible IVA importación (€)</t>
  </si>
  <si>
    <t xml:space="preserve">IVA importación (€) — recuperable</t>
  </si>
  <si>
    <t xml:space="preserve">Marcas fiscales + UI (€)</t>
  </si>
  <si>
    <t xml:space="preserve">Despacho (€)</t>
  </si>
  <si>
    <t xml:space="preserve">TOTAL A DESEMBOLSAR EN FRONTERA (€)</t>
  </si>
  <si>
    <t xml:space="preserve">Coste definitivo del envío sin IEE ni IVA (€)</t>
  </si>
  <si>
    <t xml:space="preserve">Coste definitivo por unidad (€)</t>
  </si>
  <si>
    <t xml:space="preserve">IEE por unidad (€)</t>
  </si>
  <si>
    <t xml:space="preserve">Impuestos del Estado por unidad sobre PVP: IVA + IEE + arancel (€)</t>
  </si>
  <si>
    <t xml:space="preserve">% del PVP que se lleva el Estado</t>
  </si>
  <si>
    <t xml:space="preserve">Comparativa del coste por unidad según origen (mismo FOB y PVP de la calculadora)</t>
  </si>
  <si>
    <t xml:space="preserve">El origen afecta al arancel. El IEE y el IVA no dependen del origen. Preferencias sujetas a prueba de origen válida (REX/EUR.1) y confirmación TARIC.</t>
  </si>
  <si>
    <t xml:space="preserve">Origen</t>
  </si>
  <si>
    <t xml:space="preserve">Régimen</t>
  </si>
  <si>
    <t xml:space="preserve">Arancel</t>
  </si>
  <si>
    <t xml:space="preserve">Estado</t>
  </si>
  <si>
    <t xml:space="preserve">Coste definitivo/u (€)</t>
  </si>
  <si>
    <t xml:space="preserve">Diferencia vs. Cuba (€/u)</t>
  </si>
  <si>
    <t xml:space="preserve">Diferencia por 10.000 u (€)</t>
  </si>
  <si>
    <t xml:space="preserve">Cuba</t>
  </si>
  <si>
    <t xml:space="preserve">Sin preferencia (tipo convencional)</t>
  </si>
  <si>
    <t xml:space="preserve">PROBABLE</t>
  </si>
  <si>
    <t xml:space="preserve">República Dominicana</t>
  </si>
  <si>
    <t xml:space="preserve">EPA UE-CARIFORUM</t>
  </si>
  <si>
    <t xml:space="preserve">Nicaragua / Honduras</t>
  </si>
  <si>
    <t xml:space="preserve">Acuerdo de Asociación UE-Centroamérica</t>
  </si>
  <si>
    <t xml:space="preserve">Otros terceros países sin acuerdo</t>
  </si>
  <si>
    <t xml:space="preserve">Tipo convencional</t>
  </si>
  <si>
    <t xml:space="preserve">Obligaciones fiscales y regulatorias por figura (España)</t>
  </si>
  <si>
    <t xml:space="preserve">Diferenciar titular de marca, importador, distribuidor mayorista y expendedor.</t>
  </si>
  <si>
    <t xml:space="preserve">Figura</t>
  </si>
  <si>
    <t xml:space="preserve">Obligaciones principales (con fuente)</t>
  </si>
  <si>
    <t xml:space="preserve">Titular de marca / fabricante (aunque fabrique un tercero)</t>
  </si>
  <si>
    <t xml:space="preserve">Habilitación como fabricante ante el CMT (S17); notificación EU-CEG de ingredientes por marca y tipo (S29); solicitud de publicación de PVP en BOE (S18); etiquetado y advertencias conformes RD 579/2017 (S30); trazabilidad: registro de operador e identificadores únicos (S28).</t>
  </si>
  <si>
    <t xml:space="preserve">Importador</t>
  </si>
  <si>
    <t xml:space="preserve">EORI; DUA de importación; pago de arancel e IVA de importación; IEE al importar o depósito fiscal / destinatario registrado; marcas fiscales (Orden HAC/66/2024, S27); trazabilidad (S28); conservar prueba de origen.</t>
  </si>
  <si>
    <t xml:space="preserve">Distribuidor mayorista</t>
  </si>
  <si>
    <t xml:space="preserve">Habilitación como distribuidor ante el CMT (S17); información mensual de ventas a expendedurías y anual; condiciones generales de distribución comunicadas; neutralidad y no discriminación entre expendedurías.</t>
  </si>
  <si>
    <t xml:space="preserve">Expendedor (detallista)</t>
  </si>
  <si>
    <t xml:space="preserve">Concesión administrativa; venta al PVP publicado; margen legal (S15); prohibiciones de publicidad y promoción.</t>
  </si>
  <si>
    <t xml:space="preserve">Todos</t>
  </si>
  <si>
    <t xml:space="preserve">Prohibición de publicidad, promoción y patrocinio de productos del tabaco (Ley 28/2005); prohibición de venta a distancia transfronteriza al consumidor (art. 18 Directiva 2014/40/UE, transpuesto); protección de datos de clientes profesionales.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</si>
</sst>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[RED]\-#,##0"/>
    <numFmt numFmtId="166" formatCode="#,##0.00;[RED]\-#,##0.00"/>
    <numFmt numFmtId="167" formatCode="#,##0.00&quot; €&quot;;[RED]\-#,##0.00&quot; €&quot;"/>
    <numFmt numFmtId="168" formatCode="#,##0&quot; €&quot;;[RED]\-#,##0&quot; €&quot;"/>
    <numFmt numFmtId="169" formatCode="0.0%"/>
    <numFmt numFmtId="170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sz val="10"/>
      <color rgb="FF1F4E9E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  <fill>
      <patternFill patternType="solid">
        <fgColor rgb="FFE2F0D9"/>
        <bgColor rgb="FFFFF8E1"/>
      </patternFill>
    </fill>
    <fill>
      <patternFill patternType="solid">
        <fgColor rgb="FFFADBD8"/>
        <bgColor rgb="FFE2F0D9"/>
      </patternFill>
    </fill>
    <fill>
      <patternFill patternType="solid">
        <fgColor rgb="FF5A3E2B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B3" s="3" t="s">
        <v>2</v>
      </c>
      <c r="C3" s="4" t="s">
        <v>3</v>
      </c>
      <c r="D3" s="5" t="s">
        <v>4</v>
      </c>
      <c r="E3" s="6" t="s">
        <v>5</v>
      </c>
    </row>
    <row r="6" customFormat="false" ht="15" hidden="false" customHeight="false" outlineLevel="0" collapsed="false">
      <c r="A6" s="7" t="s">
        <v>6</v>
      </c>
      <c r="B6" s="8" t="n">
        <v>3000</v>
      </c>
    </row>
    <row r="7" customFormat="false" ht="15" hidden="false" customHeight="false" outlineLevel="0" collapsed="false">
      <c r="A7" s="7" t="s">
        <v>7</v>
      </c>
      <c r="B7" s="9" t="n">
        <v>6</v>
      </c>
    </row>
    <row r="8" customFormat="false" ht="15" hidden="false" customHeight="false" outlineLevel="0" collapsed="false">
      <c r="A8" s="7" t="s">
        <v>8</v>
      </c>
      <c r="B8" s="9" t="n">
        <v>1.15</v>
      </c>
    </row>
    <row r="9" customFormat="false" ht="15" hidden="false" customHeight="false" outlineLevel="0" collapsed="false">
      <c r="A9" s="7" t="s">
        <v>9</v>
      </c>
      <c r="B9" s="10" t="n">
        <v>1.81</v>
      </c>
    </row>
    <row r="10" customFormat="false" ht="15" hidden="false" customHeight="false" outlineLevel="0" collapsed="false">
      <c r="A10" s="7" t="s">
        <v>10</v>
      </c>
      <c r="B10" s="11" t="n">
        <v>1500</v>
      </c>
    </row>
    <row r="11" customFormat="false" ht="15" hidden="false" customHeight="false" outlineLevel="0" collapsed="false">
      <c r="A11" s="7" t="s">
        <v>11</v>
      </c>
      <c r="B11" s="12" t="n">
        <v>0.005</v>
      </c>
    </row>
    <row r="12" customFormat="false" ht="15" hidden="false" customHeight="false" outlineLevel="0" collapsed="false">
      <c r="A12" s="7" t="s">
        <v>12</v>
      </c>
      <c r="B12" s="10" t="n">
        <v>24</v>
      </c>
    </row>
    <row r="13" customFormat="false" ht="15" hidden="false" customHeight="false" outlineLevel="0" collapsed="false">
      <c r="A13" s="7" t="s">
        <v>13</v>
      </c>
      <c r="B13" s="12" t="n">
        <v>0.26</v>
      </c>
    </row>
    <row r="14" customFormat="false" ht="15" hidden="false" customHeight="false" outlineLevel="0" collapsed="false">
      <c r="A14" s="7" t="s">
        <v>14</v>
      </c>
      <c r="B14" s="12" t="n">
        <v>0.158</v>
      </c>
    </row>
    <row r="15" customFormat="false" ht="15" hidden="false" customHeight="false" outlineLevel="0" collapsed="false">
      <c r="A15" s="7" t="s">
        <v>15</v>
      </c>
      <c r="B15" s="9" t="n">
        <v>47</v>
      </c>
    </row>
    <row r="16" customFormat="false" ht="15" hidden="false" customHeight="false" outlineLevel="0" collapsed="false">
      <c r="A16" s="7" t="s">
        <v>16</v>
      </c>
      <c r="B16" s="12" t="n">
        <v>0.21</v>
      </c>
    </row>
    <row r="17" customFormat="false" ht="15" hidden="false" customHeight="false" outlineLevel="0" collapsed="false">
      <c r="A17" s="7" t="s">
        <v>17</v>
      </c>
      <c r="B17" s="11" t="n">
        <v>450</v>
      </c>
    </row>
    <row r="18" customFormat="false" ht="15" hidden="false" customHeight="false" outlineLevel="0" collapsed="false">
      <c r="A18" s="7" t="s">
        <v>18</v>
      </c>
      <c r="B18" s="10" t="n">
        <v>0.03</v>
      </c>
    </row>
    <row r="19" customFormat="false" ht="15" hidden="false" customHeight="false" outlineLevel="0" collapsed="false">
      <c r="A19" s="7" t="s">
        <v>19</v>
      </c>
      <c r="B19" s="13" t="n">
        <v>1</v>
      </c>
    </row>
    <row r="20" customFormat="false" ht="15" hidden="false" customHeight="false" outlineLevel="0" collapsed="false">
      <c r="A20" s="7" t="s">
        <v>20</v>
      </c>
      <c r="B20" s="14" t="n">
        <f aca="false">B6*B7/B8+B6*B9</f>
        <v>21082.1739130435</v>
      </c>
    </row>
    <row r="21" customFormat="false" ht="15" hidden="false" customHeight="false" outlineLevel="0" collapsed="false">
      <c r="A21" s="7" t="s">
        <v>21</v>
      </c>
      <c r="B21" s="14" t="n">
        <f aca="false">(B20+B10)*(1+B11)</f>
        <v>22695.0847826087</v>
      </c>
    </row>
    <row r="22" customFormat="false" ht="15" hidden="false" customHeight="false" outlineLevel="0" collapsed="false">
      <c r="A22" s="7" t="s">
        <v>22</v>
      </c>
      <c r="B22" s="14" t="n">
        <f aca="false">B21*B13</f>
        <v>5900.72204347826</v>
      </c>
    </row>
    <row r="23" customFormat="false" ht="15" hidden="false" customHeight="false" outlineLevel="0" collapsed="false">
      <c r="A23" s="7" t="s">
        <v>23</v>
      </c>
      <c r="B23" s="14" t="n">
        <f aca="false">B6*MAX(B14*B12,B15/1000)</f>
        <v>11376</v>
      </c>
    </row>
    <row r="24" customFormat="false" ht="15" hidden="false" customHeight="false" outlineLevel="0" collapsed="false">
      <c r="A24" s="7" t="s">
        <v>24</v>
      </c>
      <c r="B24" s="14" t="n">
        <f aca="false">B23*B19</f>
        <v>11376</v>
      </c>
    </row>
    <row r="25" customFormat="false" ht="15" hidden="false" customHeight="false" outlineLevel="0" collapsed="false">
      <c r="A25" s="7" t="s">
        <v>25</v>
      </c>
      <c r="B25" s="14" t="n">
        <f aca="false">B21+B22+B24</f>
        <v>39971.806826087</v>
      </c>
    </row>
    <row r="26" customFormat="false" ht="15" hidden="false" customHeight="false" outlineLevel="0" collapsed="false">
      <c r="A26" s="7" t="s">
        <v>26</v>
      </c>
      <c r="B26" s="14" t="n">
        <f aca="false">B25*B16</f>
        <v>8394.07943347826</v>
      </c>
    </row>
    <row r="27" customFormat="false" ht="15" hidden="false" customHeight="false" outlineLevel="0" collapsed="false">
      <c r="A27" s="7" t="s">
        <v>27</v>
      </c>
      <c r="B27" s="14" t="n">
        <f aca="false">B6*B18</f>
        <v>90</v>
      </c>
    </row>
    <row r="28" customFormat="false" ht="15" hidden="false" customHeight="false" outlineLevel="0" collapsed="false">
      <c r="A28" s="7" t="s">
        <v>28</v>
      </c>
      <c r="B28" s="14" t="n">
        <f aca="false">B17</f>
        <v>450</v>
      </c>
    </row>
    <row r="29" customFormat="false" ht="15" hidden="false" customHeight="false" outlineLevel="0" collapsed="false">
      <c r="A29" s="7" t="s">
        <v>29</v>
      </c>
      <c r="B29" s="15" t="n">
        <f aca="false">B22+B24+B26+B27+B28</f>
        <v>26210.8014769565</v>
      </c>
    </row>
    <row r="30" customFormat="false" ht="15" hidden="false" customHeight="false" outlineLevel="0" collapsed="false">
      <c r="A30" s="7" t="s">
        <v>30</v>
      </c>
      <c r="B30" s="14" t="n">
        <f aca="false">B21+B22+B27+B28</f>
        <v>29135.806826087</v>
      </c>
    </row>
    <row r="31" customFormat="false" ht="15" hidden="false" customHeight="false" outlineLevel="0" collapsed="false">
      <c r="A31" s="7" t="s">
        <v>31</v>
      </c>
      <c r="B31" s="16" t="n">
        <f aca="false">B30/B6</f>
        <v>9.71193560869565</v>
      </c>
    </row>
    <row r="32" customFormat="false" ht="15" hidden="false" customHeight="false" outlineLevel="0" collapsed="false">
      <c r="A32" s="7" t="s">
        <v>32</v>
      </c>
      <c r="B32" s="16" t="n">
        <f aca="false">B23/B6</f>
        <v>3.792</v>
      </c>
    </row>
    <row r="33" customFormat="false" ht="15" hidden="false" customHeight="false" outlineLevel="0" collapsed="false">
      <c r="A33" s="7" t="s">
        <v>33</v>
      </c>
      <c r="B33" s="16" t="n">
        <f aca="false">B12*B16/(1+B16)+B32+B22/B6</f>
        <v>9.92419660402443</v>
      </c>
    </row>
    <row r="34" customFormat="false" ht="15" hidden="false" customHeight="false" outlineLevel="0" collapsed="false">
      <c r="A34" s="7" t="s">
        <v>34</v>
      </c>
      <c r="B34" s="17" t="n">
        <f aca="false">B33/B12</f>
        <v>0.413508191834351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22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28.35" hidden="false" customHeight="false" outlineLevel="0" collapsed="false">
      <c r="A4" s="18" t="s">
        <v>37</v>
      </c>
      <c r="B4" s="18" t="s">
        <v>38</v>
      </c>
      <c r="C4" s="18" t="s">
        <v>39</v>
      </c>
      <c r="D4" s="18" t="s">
        <v>40</v>
      </c>
      <c r="E4" s="18" t="s">
        <v>41</v>
      </c>
      <c r="F4" s="18" t="s">
        <v>42</v>
      </c>
      <c r="G4" s="18" t="s">
        <v>43</v>
      </c>
    </row>
    <row r="5" customFormat="false" ht="15" hidden="false" customHeight="false" outlineLevel="0" collapsed="false">
      <c r="A5" s="7" t="s">
        <v>44</v>
      </c>
      <c r="B5" s="7" t="s">
        <v>45</v>
      </c>
      <c r="C5" s="12" t="n">
        <v>0.26</v>
      </c>
      <c r="D5" s="7" t="s">
        <v>46</v>
      </c>
      <c r="E5" s="16" t="n">
        <f aca="false">('Calculadora DUA'!$B$21*(1+C5)+'Calculadora DUA'!$B$27+'Calculadora DUA'!$B$28)/'Calculadora DUA'!$B$6</f>
        <v>9.71193560869565</v>
      </c>
      <c r="F5" s="19" t="n">
        <f aca="false">E5-$E$5</f>
        <v>0</v>
      </c>
      <c r="G5" s="14" t="n">
        <f aca="false">F5*10000</f>
        <v>0</v>
      </c>
    </row>
    <row r="6" customFormat="false" ht="15" hidden="false" customHeight="false" outlineLevel="0" collapsed="false">
      <c r="A6" s="7" t="s">
        <v>47</v>
      </c>
      <c r="B6" s="7" t="s">
        <v>48</v>
      </c>
      <c r="C6" s="12" t="n">
        <v>0</v>
      </c>
      <c r="D6" s="7" t="s">
        <v>46</v>
      </c>
      <c r="E6" s="16" t="n">
        <f aca="false">('Calculadora DUA'!$B$21*(1+C6)+'Calculadora DUA'!$B$27+'Calculadora DUA'!$B$28)/'Calculadora DUA'!$B$6</f>
        <v>7.74502826086957</v>
      </c>
      <c r="F6" s="19" t="n">
        <f aca="false">E6-$E$5</f>
        <v>-1.96690734782609</v>
      </c>
      <c r="G6" s="14" t="n">
        <f aca="false">F6*10000</f>
        <v>-19669.0734782609</v>
      </c>
    </row>
    <row r="7" customFormat="false" ht="15" hidden="false" customHeight="false" outlineLevel="0" collapsed="false">
      <c r="A7" s="7" t="s">
        <v>49</v>
      </c>
      <c r="B7" s="7" t="s">
        <v>50</v>
      </c>
      <c r="C7" s="12" t="n">
        <v>0</v>
      </c>
      <c r="D7" s="7" t="s">
        <v>46</v>
      </c>
      <c r="E7" s="16" t="n">
        <f aca="false">('Calculadora DUA'!$B$21*(1+C7)+'Calculadora DUA'!$B$27+'Calculadora DUA'!$B$28)/'Calculadora DUA'!$B$6</f>
        <v>7.74502826086957</v>
      </c>
      <c r="F7" s="19" t="n">
        <f aca="false">E7-$E$5</f>
        <v>-1.96690734782609</v>
      </c>
      <c r="G7" s="14" t="n">
        <f aca="false">F7*10000</f>
        <v>-19669.0734782609</v>
      </c>
    </row>
    <row r="8" customFormat="false" ht="15" hidden="false" customHeight="false" outlineLevel="0" collapsed="false">
      <c r="A8" s="7" t="s">
        <v>51</v>
      </c>
      <c r="B8" s="7" t="s">
        <v>52</v>
      </c>
      <c r="C8" s="12" t="n">
        <v>0.26</v>
      </c>
      <c r="D8" s="7" t="s">
        <v>46</v>
      </c>
      <c r="E8" s="16" t="n">
        <f aca="false">('Calculadora DUA'!$B$21*(1+C8)+'Calculadora DUA'!$B$27+'Calculadora DUA'!$B$28)/'Calculadora DUA'!$B$6</f>
        <v>9.71193560869565</v>
      </c>
      <c r="F8" s="19" t="n">
        <f aca="false">E8-$E$5</f>
        <v>0</v>
      </c>
      <c r="G8" s="14" t="n">
        <f aca="false">F8*10000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18" t="s">
        <v>55</v>
      </c>
      <c r="B4" s="18" t="s">
        <v>56</v>
      </c>
    </row>
    <row r="5" customFormat="false" ht="23.85" hidden="false" customHeight="false" outlineLevel="0" collapsed="false">
      <c r="A5" s="20" t="s">
        <v>57</v>
      </c>
      <c r="B5" s="20" t="s">
        <v>58</v>
      </c>
    </row>
    <row r="6" customFormat="false" ht="23.85" hidden="false" customHeight="false" outlineLevel="0" collapsed="false">
      <c r="A6" s="20" t="s">
        <v>59</v>
      </c>
      <c r="B6" s="20" t="s">
        <v>60</v>
      </c>
    </row>
    <row r="7" customFormat="false" ht="23.85" hidden="false" customHeight="false" outlineLevel="0" collapsed="false">
      <c r="A7" s="20" t="s">
        <v>61</v>
      </c>
      <c r="B7" s="20" t="s">
        <v>62</v>
      </c>
    </row>
    <row r="8" customFormat="false" ht="15" hidden="false" customHeight="false" outlineLevel="0" collapsed="false">
      <c r="A8" s="20" t="s">
        <v>63</v>
      </c>
      <c r="B8" s="20" t="s">
        <v>64</v>
      </c>
    </row>
    <row r="9" customFormat="false" ht="23.85" hidden="false" customHeight="false" outlineLevel="0" collapsed="false">
      <c r="A9" s="20" t="s">
        <v>65</v>
      </c>
      <c r="B9" s="2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2026-10-17T10:26:31Z</dcterms:created>
  <dc:creator>openpyxl</dc:creator>
  <dc:description/>
  <dc:language>en-US</dc:language>
  <cp:lastModifiedBy/>
  <dcterms:modified xsi:type="dcterms:W3CDTF">2026-10-17T10:26:31Z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