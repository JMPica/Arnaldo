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videncias y supuest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<sst xmlns="http://schemas.openxmlformats.org/spreadsheetml/2006/main" count="163" uniqueCount="108">
  <si>
    <t xml:space="preserve">Registro de evidencias y supuestos</t>
  </si>
  <si>
    <t xml:space="preserve">Cada afirmación material del dossier con su clasificación, fuente e impacto.</t>
  </si>
  <si>
    <t xml:space="preserve">ID</t>
  </si>
  <si>
    <t xml:space="preserve">Afirmación</t>
  </si>
  <si>
    <t xml:space="preserve">Clasificación</t>
  </si>
  <si>
    <t xml:space="preserve">Fuente</t>
  </si>
  <si>
    <t xml:space="preserve">Impacto en decisión</t>
  </si>
  <si>
    <t xml:space="preserve">Próximo paso de verificación</t>
  </si>
  <si>
    <t xml:space="preserve">E01</t>
  </si>
  <si>
    <t xml:space="preserve">Habanos S.A. es el canal exclusivo de comercialización y exportación de puros premium cubanos</t>
  </si>
  <si>
    <t xml:space="preserve">VERIFICADO</t>
  </si>
  <si>
    <t xml:space="preserve">S01, S05</t>
  </si>
  <si>
    <t xml:space="preserve">Crítico</t>
  </si>
  <si>
    <t xml:space="preserve">Confirmar si existe excepción para marcas de terceros</t>
  </si>
  <si>
    <t xml:space="preserve">E02</t>
  </si>
  <si>
    <t xml:space="preserve">Tabacuba mantiene el monopolio de compra de hoja tras las reformas de 2026</t>
  </si>
  <si>
    <t xml:space="preserve">PROBABLE</t>
  </si>
  <si>
    <t xml:space="preserve">S05</t>
  </si>
  <si>
    <t xml:space="preserve">Alto</t>
  </si>
  <si>
    <t xml:space="preserve">Abogado cubano</t>
  </si>
  <si>
    <t xml:space="preserve">E03</t>
  </si>
  <si>
    <t xml:space="preserve">DL 133/2026 permite a mipymes exportar con autorización MINCEX</t>
  </si>
  <si>
    <t xml:space="preserve">S03, S04</t>
  </si>
  <si>
    <t xml:space="preserve">Medio</t>
  </si>
  <si>
    <t xml:space="preserve">Lista de productos excluidos</t>
  </si>
  <si>
    <t xml:space="preserve">E04</t>
  </si>
  <si>
    <t xml:space="preserve">La producción de tabaco estaba prohibida a mipymes</t>
  </si>
  <si>
    <t xml:space="preserve">S44</t>
  </si>
  <si>
    <t xml:space="preserve">Verificar vigencia tras 2026</t>
  </si>
  <si>
    <t xml:space="preserve">E05</t>
  </si>
  <si>
    <t xml:space="preserve">Existen precedentes de marcas extranjeras fabricadas en Cuba (Davidoff 1968/69–1990/91; Dunhill 1984–1991), terminados en disputa sobre titularidad/calidad</t>
  </si>
  <si>
    <t xml:space="preserve">S10, S11</t>
  </si>
  <si>
    <t xml:space="preserve">—</t>
  </si>
  <si>
    <t xml:space="preserve">E06</t>
  </si>
  <si>
    <t xml:space="preserve">No consta servicio actual de Habanos de marca privada para terceros (sólo Private Selection para ganadores de subastas)</t>
  </si>
  <si>
    <t xml:space="preserve">S12</t>
  </si>
  <si>
    <t xml:space="preserve">Preguntar a Habanos</t>
  </si>
  <si>
    <t xml:space="preserve">E07</t>
  </si>
  <si>
    <t xml:space="preserve">'Cuba', 'La Habana' y derivados están protegidos como IG para puros (Alemania)</t>
  </si>
  <si>
    <t xml:space="preserve">S13</t>
  </si>
  <si>
    <t xml:space="preserve">E08</t>
  </si>
  <si>
    <t xml:space="preserve">IEE cigarros 15,8% PVP, mínimo 47 €/1.000 u</t>
  </si>
  <si>
    <t xml:space="preserve">S14</t>
  </si>
  <si>
    <t xml:space="preserve">E09</t>
  </si>
  <si>
    <t xml:space="preserve">Margen expendedor cigarros 9%</t>
  </si>
  <si>
    <t xml:space="preserve">S15</t>
  </si>
  <si>
    <t xml:space="preserve">Texto consolidado</t>
  </si>
  <si>
    <t xml:space="preserve">E10</t>
  </si>
  <si>
    <t xml:space="preserve">Arancel UE 2402 10 00 = 26% (origen Cuba)</t>
  </si>
  <si>
    <t xml:space="preserve">S32</t>
  </si>
  <si>
    <t xml:space="preserve">TARIC</t>
  </si>
  <si>
    <t xml:space="preserve">E11</t>
  </si>
  <si>
    <t xml:space="preserve">Marcas fiscales obligatorias en cigarros desde 20/05/2024</t>
  </si>
  <si>
    <t xml:space="preserve">S27</t>
  </si>
  <si>
    <t xml:space="preserve">E12</t>
  </si>
  <si>
    <t xml:space="preserve">Trazabilidad UE para cigarros desde 20/05/2024</t>
  </si>
  <si>
    <t xml:space="preserve">S28</t>
  </si>
  <si>
    <t xml:space="preserve">E13</t>
  </si>
  <si>
    <t xml:space="preserve">Habilitación CMT resuelta en ≤15 días hábiles</t>
  </si>
  <si>
    <t xml:space="preserve">S17</t>
  </si>
  <si>
    <t xml:space="preserve">Bajo</t>
  </si>
  <si>
    <t xml:space="preserve">E14</t>
  </si>
  <si>
    <t xml:space="preserve">Tabacalera, distribuidor exclusivo de Habanos en España, con cuentas bloqueadas por sanciones UE (2026)</t>
  </si>
  <si>
    <t xml:space="preserve">S21</t>
  </si>
  <si>
    <t xml:space="preserve">Alto (Proyecto B)</t>
  </si>
  <si>
    <t xml:space="preserve">Seguimiento</t>
  </si>
  <si>
    <t xml:space="preserve">E15</t>
  </si>
  <si>
    <t xml:space="preserve">BHK 56 en expendeduría: 262,50 €/u; caja de 10: 2.625 €</t>
  </si>
  <si>
    <t xml:space="preserve">S19, S20</t>
  </si>
  <si>
    <t xml:space="preserve">BOE vigente</t>
  </si>
  <si>
    <t xml:space="preserve">E16</t>
  </si>
  <si>
    <t xml:space="preserve">Behike auténtico sólo en cajas de 10</t>
  </si>
  <si>
    <t xml:space="preserve">S20</t>
  </si>
  <si>
    <t xml:space="preserve">E17</t>
  </si>
  <si>
    <t xml:space="preserve">Habanos facturó 827 M USD en 2024; España 2º mercado</t>
  </si>
  <si>
    <t xml:space="preserve">S24</t>
  </si>
  <si>
    <t xml:space="preserve">Cifras 2025</t>
  </si>
  <si>
    <t xml:space="preserve">E18</t>
  </si>
  <si>
    <t xml:space="preserve">Venta de cigarros (todas las gamas) en España ene-oct 2025: 460,8 M u (+6,65%)</t>
  </si>
  <si>
    <t xml:space="preserve">S25</t>
  </si>
  <si>
    <t xml:space="preserve">Separar premium</t>
  </si>
  <si>
    <t xml:space="preserve">E19</t>
  </si>
  <si>
    <t xml:space="preserve">Precio FOB de fabricación por unidad</t>
  </si>
  <si>
    <t xml:space="preserve">BLOQUEADO</t>
  </si>
  <si>
    <t xml:space="preserve">Cotización</t>
  </si>
  <si>
    <t xml:space="preserve">E20</t>
  </si>
  <si>
    <t xml:space="preserve">Volúmenes de demanda por escenario</t>
  </si>
  <si>
    <t xml:space="preserve">HIPÓTESIS</t>
  </si>
  <si>
    <t xml:space="preserve">Entrevistas y cartas de interés</t>
  </si>
  <si>
    <t xml:space="preserve">E21</t>
  </si>
  <si>
    <t xml:space="preserve">Tarifa del distribuidor mayorista 4,5–6% PVP</t>
  </si>
  <si>
    <t xml:space="preserve">Oferta de distribuidor</t>
  </si>
  <si>
    <t xml:space="preserve">E22</t>
  </si>
  <si>
    <t xml:space="preserve">Coste de packaging 18 €/caja de 10</t>
  </si>
  <si>
    <t xml:space="preserve">E23</t>
  </si>
  <si>
    <t xml:space="preserve">Preferencia arancelaria 0% para R. Dominicana y Centroamérica</t>
  </si>
  <si>
    <t xml:space="preserve">S33</t>
  </si>
  <si>
    <t xml:space="preserve">Alto (B3)</t>
  </si>
  <si>
    <t xml:space="preserve">E24</t>
  </si>
  <si>
    <t xml:space="preserve">Impuesto de Sociedades Andorra 10%</t>
  </si>
  <si>
    <t xml:space="preserve">N07</t>
  </si>
  <si>
    <t xml:space="preserve">Asesor andorrano</t>
  </si>
  <si>
    <t xml:space="preserve">E25</t>
  </si>
  <si>
    <t xml:space="preserve">Oferta Behike 56 a 50 €/caja</t>
  </si>
  <si>
    <t xml:space="preserve">HIPÓTESIS (no verificada; tratada como señal de alerta)</t>
  </si>
  <si>
    <t xml:space="preserve">Promotor</t>
  </si>
  <si>
    <t xml:space="preserve">No verificar comprando</t>
  </si>
  <si>
    <t xml:space="preserve">Recuento por clasificación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</si>
</sst>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1A17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1F4E9E"/>
      <name val="Calibri"/>
      <family val="0"/>
      <charset val="1"/>
    </font>
    <font>
      <b val="true"/>
      <sz val="10"/>
      <color rgb="FF9C0006"/>
      <name val="Calibri"/>
      <family val="0"/>
      <charset val="1"/>
    </font>
    <font>
      <sz val="10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5A3E2B"/>
        <bgColor rgb="FF666666"/>
      </patternFill>
    </fill>
    <fill>
      <patternFill patternType="solid">
        <fgColor rgb="FFE2F0D9"/>
        <bgColor rgb="FFFFF8E1"/>
      </patternFill>
    </fill>
    <fill>
      <patternFill patternType="solid">
        <fgColor rgb="FFFFF8E1"/>
        <bgColor rgb="FFFFFFFF"/>
      </patternFill>
    </fill>
    <fill>
      <patternFill patternType="solid">
        <fgColor rgb="FFFADBD8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8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B1A17"/>
      <rgbColor rgb="FF993300"/>
      <rgbColor rgb="FF993366"/>
      <rgbColor rgb="FF1F4E9E"/>
      <rgbColor rgb="FF5A3E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3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8.35" hidden="false" customHeight="false" outlineLevel="0" collapsed="false">
      <c r="A5" s="4" t="s">
        <v>8</v>
      </c>
      <c r="B5" s="4" t="s">
        <v>9</v>
      </c>
      <c r="C5" s="5" t="s">
        <v>10</v>
      </c>
      <c r="D5" s="4" t="s">
        <v>11</v>
      </c>
      <c r="E5" s="4" t="s">
        <v>12</v>
      </c>
      <c r="F5" s="4" t="s">
        <v>13</v>
      </c>
    </row>
    <row r="6" customFormat="false" ht="15" hidden="false" customHeight="false" outlineLevel="0" collapsed="false">
      <c r="A6" s="4" t="s">
        <v>14</v>
      </c>
      <c r="B6" s="4" t="s">
        <v>15</v>
      </c>
      <c r="C6" s="6" t="s">
        <v>16</v>
      </c>
      <c r="D6" s="4" t="s">
        <v>17</v>
      </c>
      <c r="E6" s="4" t="s">
        <v>18</v>
      </c>
      <c r="F6" s="4" t="s">
        <v>19</v>
      </c>
    </row>
    <row r="7" customFormat="false" ht="15" hidden="false" customHeight="false" outlineLevel="0" collapsed="false">
      <c r="A7" s="4" t="s">
        <v>20</v>
      </c>
      <c r="B7" s="4" t="s">
        <v>21</v>
      </c>
      <c r="C7" s="5" t="s">
        <v>10</v>
      </c>
      <c r="D7" s="4" t="s">
        <v>22</v>
      </c>
      <c r="E7" s="4" t="s">
        <v>23</v>
      </c>
      <c r="F7" s="4" t="s">
        <v>24</v>
      </c>
    </row>
    <row r="8" customFormat="false" ht="15" hidden="false" customHeight="false" outlineLevel="0" collapsed="false">
      <c r="A8" s="4" t="s">
        <v>25</v>
      </c>
      <c r="B8" s="4" t="s">
        <v>26</v>
      </c>
      <c r="C8" s="6" t="s">
        <v>16</v>
      </c>
      <c r="D8" s="4" t="s">
        <v>27</v>
      </c>
      <c r="E8" s="4" t="s">
        <v>18</v>
      </c>
      <c r="F8" s="4" t="s">
        <v>28</v>
      </c>
    </row>
    <row r="9" customFormat="false" ht="28.35" hidden="false" customHeight="false" outlineLevel="0" collapsed="false">
      <c r="A9" s="4" t="s">
        <v>29</v>
      </c>
      <c r="B9" s="4" t="s">
        <v>30</v>
      </c>
      <c r="C9" s="6" t="s">
        <v>16</v>
      </c>
      <c r="D9" s="4" t="s">
        <v>31</v>
      </c>
      <c r="E9" s="4" t="s">
        <v>18</v>
      </c>
      <c r="F9" s="4" t="s">
        <v>32</v>
      </c>
    </row>
    <row r="10" customFormat="false" ht="28.35" hidden="false" customHeight="false" outlineLevel="0" collapsed="false">
      <c r="A10" s="4" t="s">
        <v>33</v>
      </c>
      <c r="B10" s="4" t="s">
        <v>34</v>
      </c>
      <c r="C10" s="6" t="s">
        <v>16</v>
      </c>
      <c r="D10" s="4" t="s">
        <v>35</v>
      </c>
      <c r="E10" s="4" t="s">
        <v>12</v>
      </c>
      <c r="F10" s="4" t="s">
        <v>36</v>
      </c>
    </row>
    <row r="11" customFormat="false" ht="15" hidden="false" customHeight="false" outlineLevel="0" collapsed="false">
      <c r="A11" s="4" t="s">
        <v>37</v>
      </c>
      <c r="B11" s="4" t="s">
        <v>38</v>
      </c>
      <c r="C11" s="5" t="s">
        <v>10</v>
      </c>
      <c r="D11" s="4" t="s">
        <v>39</v>
      </c>
      <c r="E11" s="4" t="s">
        <v>18</v>
      </c>
      <c r="F11" s="4" t="s">
        <v>32</v>
      </c>
    </row>
    <row r="12" customFormat="false" ht="15" hidden="false" customHeight="false" outlineLevel="0" collapsed="false">
      <c r="A12" s="4" t="s">
        <v>40</v>
      </c>
      <c r="B12" s="4" t="s">
        <v>41</v>
      </c>
      <c r="C12" s="5" t="s">
        <v>10</v>
      </c>
      <c r="D12" s="4" t="s">
        <v>42</v>
      </c>
      <c r="E12" s="4" t="s">
        <v>18</v>
      </c>
      <c r="F12" s="4" t="s">
        <v>32</v>
      </c>
    </row>
    <row r="13" customFormat="false" ht="15" hidden="false" customHeight="false" outlineLevel="0" collapsed="false">
      <c r="A13" s="4" t="s">
        <v>43</v>
      </c>
      <c r="B13" s="4" t="s">
        <v>44</v>
      </c>
      <c r="C13" s="6" t="s">
        <v>16</v>
      </c>
      <c r="D13" s="4" t="s">
        <v>45</v>
      </c>
      <c r="E13" s="4" t="s">
        <v>23</v>
      </c>
      <c r="F13" s="4" t="s">
        <v>46</v>
      </c>
    </row>
    <row r="14" customFormat="false" ht="15" hidden="false" customHeight="false" outlineLevel="0" collapsed="false">
      <c r="A14" s="4" t="s">
        <v>47</v>
      </c>
      <c r="B14" s="4" t="s">
        <v>48</v>
      </c>
      <c r="C14" s="6" t="s">
        <v>16</v>
      </c>
      <c r="D14" s="4" t="s">
        <v>49</v>
      </c>
      <c r="E14" s="4" t="s">
        <v>18</v>
      </c>
      <c r="F14" s="4" t="s">
        <v>50</v>
      </c>
    </row>
    <row r="15" customFormat="false" ht="15" hidden="false" customHeight="false" outlineLevel="0" collapsed="false">
      <c r="A15" s="4" t="s">
        <v>51</v>
      </c>
      <c r="B15" s="4" t="s">
        <v>52</v>
      </c>
      <c r="C15" s="5" t="s">
        <v>10</v>
      </c>
      <c r="D15" s="4" t="s">
        <v>53</v>
      </c>
      <c r="E15" s="4" t="s">
        <v>23</v>
      </c>
      <c r="F15" s="4" t="s">
        <v>32</v>
      </c>
    </row>
    <row r="16" customFormat="false" ht="15" hidden="false" customHeight="false" outlineLevel="0" collapsed="false">
      <c r="A16" s="4" t="s">
        <v>54</v>
      </c>
      <c r="B16" s="4" t="s">
        <v>55</v>
      </c>
      <c r="C16" s="5" t="s">
        <v>10</v>
      </c>
      <c r="D16" s="4" t="s">
        <v>56</v>
      </c>
      <c r="E16" s="4" t="s">
        <v>23</v>
      </c>
      <c r="F16" s="4" t="s">
        <v>32</v>
      </c>
    </row>
    <row r="17" customFormat="false" ht="15" hidden="false" customHeight="false" outlineLevel="0" collapsed="false">
      <c r="A17" s="4" t="s">
        <v>57</v>
      </c>
      <c r="B17" s="4" t="s">
        <v>58</v>
      </c>
      <c r="C17" s="5" t="s">
        <v>10</v>
      </c>
      <c r="D17" s="4" t="s">
        <v>59</v>
      </c>
      <c r="E17" s="4" t="s">
        <v>60</v>
      </c>
      <c r="F17" s="4" t="s">
        <v>32</v>
      </c>
    </row>
    <row r="18" customFormat="false" ht="28.35" hidden="false" customHeight="false" outlineLevel="0" collapsed="false">
      <c r="A18" s="4" t="s">
        <v>61</v>
      </c>
      <c r="B18" s="4" t="s">
        <v>62</v>
      </c>
      <c r="C18" s="5" t="s">
        <v>10</v>
      </c>
      <c r="D18" s="4" t="s">
        <v>63</v>
      </c>
      <c r="E18" s="4" t="s">
        <v>64</v>
      </c>
      <c r="F18" s="4" t="s">
        <v>65</v>
      </c>
    </row>
    <row r="19" customFormat="false" ht="15" hidden="false" customHeight="false" outlineLevel="0" collapsed="false">
      <c r="A19" s="4" t="s">
        <v>66</v>
      </c>
      <c r="B19" s="4" t="s">
        <v>67</v>
      </c>
      <c r="C19" s="6" t="s">
        <v>16</v>
      </c>
      <c r="D19" s="4" t="s">
        <v>68</v>
      </c>
      <c r="E19" s="4" t="s">
        <v>18</v>
      </c>
      <c r="F19" s="4" t="s">
        <v>69</v>
      </c>
    </row>
    <row r="20" customFormat="false" ht="15" hidden="false" customHeight="false" outlineLevel="0" collapsed="false">
      <c r="A20" s="4" t="s">
        <v>70</v>
      </c>
      <c r="B20" s="4" t="s">
        <v>71</v>
      </c>
      <c r="C20" s="5" t="s">
        <v>10</v>
      </c>
      <c r="D20" s="4" t="s">
        <v>72</v>
      </c>
      <c r="E20" s="4" t="s">
        <v>18</v>
      </c>
      <c r="F20" s="4" t="s">
        <v>32</v>
      </c>
    </row>
    <row r="21" customFormat="false" ht="15" hidden="false" customHeight="false" outlineLevel="0" collapsed="false">
      <c r="A21" s="4" t="s">
        <v>73</v>
      </c>
      <c r="B21" s="4" t="s">
        <v>74</v>
      </c>
      <c r="C21" s="5" t="s">
        <v>10</v>
      </c>
      <c r="D21" s="4" t="s">
        <v>75</v>
      </c>
      <c r="E21" s="4" t="s">
        <v>23</v>
      </c>
      <c r="F21" s="4" t="s">
        <v>76</v>
      </c>
    </row>
    <row r="22" customFormat="false" ht="15" hidden="false" customHeight="false" outlineLevel="0" collapsed="false">
      <c r="A22" s="4" t="s">
        <v>77</v>
      </c>
      <c r="B22" s="4" t="s">
        <v>78</v>
      </c>
      <c r="C22" s="5" t="s">
        <v>10</v>
      </c>
      <c r="D22" s="4" t="s">
        <v>79</v>
      </c>
      <c r="E22" s="4" t="s">
        <v>60</v>
      </c>
      <c r="F22" s="4" t="s">
        <v>80</v>
      </c>
    </row>
    <row r="23" customFormat="false" ht="15" hidden="false" customHeight="false" outlineLevel="0" collapsed="false">
      <c r="A23" s="4" t="s">
        <v>81</v>
      </c>
      <c r="B23" s="4" t="s">
        <v>82</v>
      </c>
      <c r="C23" s="7" t="s">
        <v>83</v>
      </c>
      <c r="D23" s="4" t="s">
        <v>32</v>
      </c>
      <c r="E23" s="4" t="s">
        <v>12</v>
      </c>
      <c r="F23" s="4" t="s">
        <v>84</v>
      </c>
    </row>
    <row r="24" customFormat="false" ht="15" hidden="false" customHeight="false" outlineLevel="0" collapsed="false">
      <c r="A24" s="4" t="s">
        <v>85</v>
      </c>
      <c r="B24" s="4" t="s">
        <v>86</v>
      </c>
      <c r="C24" s="6" t="s">
        <v>87</v>
      </c>
      <c r="D24" s="4" t="s">
        <v>32</v>
      </c>
      <c r="E24" s="4" t="s">
        <v>12</v>
      </c>
      <c r="F24" s="4" t="s">
        <v>88</v>
      </c>
    </row>
    <row r="25" customFormat="false" ht="15" hidden="false" customHeight="false" outlineLevel="0" collapsed="false">
      <c r="A25" s="4" t="s">
        <v>89</v>
      </c>
      <c r="B25" s="4" t="s">
        <v>90</v>
      </c>
      <c r="C25" s="6" t="s">
        <v>87</v>
      </c>
      <c r="D25" s="4" t="s">
        <v>32</v>
      </c>
      <c r="E25" s="4" t="s">
        <v>18</v>
      </c>
      <c r="F25" s="4" t="s">
        <v>91</v>
      </c>
    </row>
    <row r="26" customFormat="false" ht="15" hidden="false" customHeight="false" outlineLevel="0" collapsed="false">
      <c r="A26" s="4" t="s">
        <v>92</v>
      </c>
      <c r="B26" s="4" t="s">
        <v>93</v>
      </c>
      <c r="C26" s="6" t="s">
        <v>87</v>
      </c>
      <c r="D26" s="4" t="s">
        <v>32</v>
      </c>
      <c r="E26" s="4" t="s">
        <v>23</v>
      </c>
      <c r="F26" s="4" t="s">
        <v>84</v>
      </c>
    </row>
    <row r="27" customFormat="false" ht="15" hidden="false" customHeight="false" outlineLevel="0" collapsed="false">
      <c r="A27" s="4" t="s">
        <v>94</v>
      </c>
      <c r="B27" s="4" t="s">
        <v>95</v>
      </c>
      <c r="C27" s="6" t="s">
        <v>16</v>
      </c>
      <c r="D27" s="4" t="s">
        <v>96</v>
      </c>
      <c r="E27" s="4" t="s">
        <v>97</v>
      </c>
      <c r="F27" s="4" t="s">
        <v>50</v>
      </c>
    </row>
    <row r="28" customFormat="false" ht="15" hidden="false" customHeight="false" outlineLevel="0" collapsed="false">
      <c r="A28" s="4" t="s">
        <v>98</v>
      </c>
      <c r="B28" s="4" t="s">
        <v>99</v>
      </c>
      <c r="C28" s="6" t="s">
        <v>87</v>
      </c>
      <c r="D28" s="4" t="s">
        <v>100</v>
      </c>
      <c r="E28" s="4" t="s">
        <v>60</v>
      </c>
      <c r="F28" s="4" t="s">
        <v>101</v>
      </c>
    </row>
    <row r="29" customFormat="false" ht="35.05" hidden="false" customHeight="false" outlineLevel="0" collapsed="false">
      <c r="A29" s="4" t="s">
        <v>102</v>
      </c>
      <c r="B29" s="4" t="s">
        <v>103</v>
      </c>
      <c r="C29" s="6" t="s">
        <v>104</v>
      </c>
      <c r="D29" s="4" t="s">
        <v>105</v>
      </c>
      <c r="E29" s="4" t="s">
        <v>12</v>
      </c>
      <c r="F29" s="4" t="s">
        <v>106</v>
      </c>
    </row>
    <row r="31" customFormat="false" ht="15" hidden="false" customHeight="false" outlineLevel="0" collapsed="false">
      <c r="B31" s="8" t="s">
        <v>107</v>
      </c>
    </row>
    <row r="32" customFormat="false" ht="15" hidden="false" customHeight="false" outlineLevel="0" collapsed="false">
      <c r="B32" s="8" t="s">
        <v>10</v>
      </c>
      <c r="C32" s="9" t="n">
        <f aca="false">COUNTIF(C5:C29,"VERIFICADO")</f>
        <v>11</v>
      </c>
    </row>
    <row r="33" customFormat="false" ht="15" hidden="false" customHeight="false" outlineLevel="0" collapsed="false">
      <c r="B33" s="8" t="s">
        <v>16</v>
      </c>
      <c r="C33" s="9" t="n">
        <f aca="false">COUNTIF(C5:C29,"PROBABLE")</f>
        <v>8</v>
      </c>
    </row>
    <row r="34" customFormat="false" ht="15" hidden="false" customHeight="false" outlineLevel="0" collapsed="false">
      <c r="B34" s="8" t="s">
        <v>87</v>
      </c>
      <c r="C34" s="9" t="n">
        <f aca="false">COUNTIF(C5:C29,"HIPÓTESIS*")</f>
        <v>5</v>
      </c>
    </row>
    <row r="35" customFormat="false" ht="15" hidden="false" customHeight="false" outlineLevel="0" collapsed="false">
      <c r="B35" s="8" t="s">
        <v>83</v>
      </c>
      <c r="C35" s="9" t="n">
        <f aca="false">COUNTIF(C5:C29,"BLOQUEADO")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2026-10-10T09:27:58Z</dcterms:created>
  <dc:creator>openpyxl</dc:creator>
  <dc:description/>
  <dc:language>en-US</dc:language>
  <cp:lastModifiedBy/>
  <dcterms:modified xsi:type="dcterms:W3CDTF">2026-10-10T09:27:58Z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