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shboard" sheetId="1" state="visible" r:id="rId3"/>
    <sheet name="Supuestos" sheetId="2" state="visible" r:id="rId4"/>
    <sheet name="Oferta Behike 56" sheetId="3" state="visible" r:id="rId5"/>
    <sheet name="B1 Habanos directo" sheetId="4" state="visible" r:id="rId6"/>
    <sheet name="B3 Importador no cubano" sheetId="5" state="visible" r:id="rId7"/>
    <sheet name="B2 Expendeduría" sheetId="6" state="visible" r:id="rId8"/>
    <sheet name="Comparativa" sheetId="7" state="visible" r:id="rId9"/>
    <sheet name="Fuent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<sst xmlns="http://schemas.openxmlformats.org/spreadsheetml/2006/main" count="344" uniqueCount="291">
  <si>
    <t xml:space="preserve">Proyecto B — Importación premium · Dashboard</t>
  </si>
  <si>
    <t xml:space="preserve">Decisiones por vía y cifras clave (fórmulas).</t>
  </si>
  <si>
    <t xml:space="preserve">Indicador</t>
  </si>
  <si>
    <t xml:space="preserve">Valor</t>
  </si>
  <si>
    <t xml:space="preserve">Oferta Behike: precio ofertado / PVP oficial</t>
  </si>
  <si>
    <t xml:space="preserve">Oferta Behike: valor oficial del lote supuesto</t>
  </si>
  <si>
    <t xml:space="preserve">B3: contribución por unidad</t>
  </si>
  <si>
    <t xml:space="preserve">B3: contribución / PVP</t>
  </si>
  <si>
    <t xml:space="preserve">B3: caja inmovilizada lote mediano</t>
  </si>
  <si>
    <t xml:space="preserve">B3: beneficio por operación lote mediano</t>
  </si>
  <si>
    <t xml:space="preserve">B3: unidades/año para punto muerto</t>
  </si>
  <si>
    <t xml:space="preserve">B2: rentabilidad sobre inversión (referencia)</t>
  </si>
  <si>
    <t xml:space="preserve">Decisión Proyecto B: NO-GO a Habanos directo y a la oferta Behike; GO condicionado sólo para B3 tras validar exclusiva de fabricante y 10 cartas de interés de expendedurías especialistas.</t>
  </si>
  <si>
    <t xml:space="preserve">Supuestos — Proyecto B (importación y distribución premium)</t>
  </si>
  <si>
    <t xml:space="preserve">Valores azules editables. Fecha de corte 10/10/2026.</t>
  </si>
  <si>
    <t xml:space="preserve">Supuesto editable (input)</t>
  </si>
  <si>
    <t xml:space="preserve">Fórmula</t>
  </si>
  <si>
    <t xml:space="preserve">Resultado clave</t>
  </si>
  <si>
    <t xml:space="preserve">Alerta / bloqueo</t>
  </si>
  <si>
    <t xml:space="preserve">Parámetro</t>
  </si>
  <si>
    <t xml:space="preserve">Estado</t>
  </si>
  <si>
    <t xml:space="preserve">Fuente</t>
  </si>
  <si>
    <t xml:space="preserve">IVA</t>
  </si>
  <si>
    <t xml:space="preserve">VERIFICADO</t>
  </si>
  <si>
    <t xml:space="preserve">Ley 37/1992</t>
  </si>
  <si>
    <t xml:space="preserve">IEE cigarros (ad valorem sobre PVP)</t>
  </si>
  <si>
    <t xml:space="preserve">S14</t>
  </si>
  <si>
    <t xml:space="preserve">IEE mínimo (€/1.000 u)</t>
  </si>
  <si>
    <t xml:space="preserve">Margen expendedor</t>
  </si>
  <si>
    <t xml:space="preserve">PROBABLE</t>
  </si>
  <si>
    <t xml:space="preserve">S15</t>
  </si>
  <si>
    <t xml:space="preserve">Arancel 2402 10 00 sin preferencia (p.ej. Cuba)</t>
  </si>
  <si>
    <t xml:space="preserve">S32</t>
  </si>
  <si>
    <t xml:space="preserve">Arancel con preferencia (R. Dominicana EPA / Centroamérica AA) con prueba de origen</t>
  </si>
  <si>
    <t xml:space="preserve">S33; confirmar TARIC</t>
  </si>
  <si>
    <t xml:space="preserve">USD por EUR</t>
  </si>
  <si>
    <t xml:space="preserve">HIPÓTESIS</t>
  </si>
  <si>
    <t xml:space="preserve">Marcas fiscales + identificador único (€/u)</t>
  </si>
  <si>
    <t xml:space="preserve">S27, S28</t>
  </si>
  <si>
    <t xml:space="preserve">Despacho por envío (€)</t>
  </si>
  <si>
    <t xml:space="preserve">Notificación EU-CEG + ficha por nueva referencia (€)</t>
  </si>
  <si>
    <t xml:space="preserve">S29; cotizar consultor</t>
  </si>
  <si>
    <t xml:space="preserve">Gastos fijos anuales del importador-distribuidor (€)</t>
  </si>
  <si>
    <t xml:space="preserve">Gestoría, seguros, almacén, comercial, software</t>
  </si>
  <si>
    <t xml:space="preserve">Coste de oportunidad del capital inmovilizado (anual)</t>
  </si>
  <si>
    <t xml:space="preserve">Cohiba Behike BHK 56 — PVP expendeduría por unidad (mar-2026)</t>
  </si>
  <si>
    <t xml:space="preserve">S19 (coherente con S20)</t>
  </si>
  <si>
    <t xml:space="preserve">Oferta recibida por el promotor — precio por caja de 10</t>
  </si>
  <si>
    <t xml:space="preserve">No verificada; comunicada verbalmente</t>
  </si>
  <si>
    <t xml:space="preserve">Umbral penal del contrabando de labores de tabaco (€)</t>
  </si>
  <si>
    <t xml:space="preserve">N01</t>
  </si>
  <si>
    <t xml:space="preserve">Análisis de la oferta 'Cohiba Behike 56 a ~50 € la caja de 10'</t>
  </si>
  <si>
    <t xml:space="preserve">No se calcula beneficio: sin procedencia, autenticidad, disponibilidad legal y derecho de distribución acreditados, el 'margen' no existe.</t>
  </si>
  <si>
    <t xml:space="preserve">Cajas que se ofrecerían (supuesto para dimensionar el riesgo)</t>
  </si>
  <si>
    <t xml:space="preserve">PVP oficial en expendeduría por caja de 10</t>
  </si>
  <si>
    <t xml:space="preserve">Precio ofertado por caja</t>
  </si>
  <si>
    <t xml:space="preserve">Precio ofertado / PVP oficial</t>
  </si>
  <si>
    <t xml:space="preserve">Descuento implícito</t>
  </si>
  <si>
    <t xml:space="preserve">IVA + IEE contenidos en el PVP oficial de una caja</t>
  </si>
  <si>
    <t xml:space="preserve">¿El precio ofertado cubre siquiera los impuestos españoles de la caja?</t>
  </si>
  <si>
    <t xml:space="preserve">Valor oficial de la mercancía del lote</t>
  </si>
  <si>
    <t xml:space="preserve">¿Supera el umbral penal de contrabando de tabaco?</t>
  </si>
  <si>
    <t xml:space="preserve">Formato comercial legítimo conocido</t>
  </si>
  <si>
    <t xml:space="preserve">Caja de 10 unidades con sello de garantía holográfico, código único y estampado 'Hecho en Cuba' (S20, S36)</t>
  </si>
  <si>
    <t xml:space="preserve">Cajas de 25 o sin sello / sin código verificable</t>
  </si>
  <si>
    <t xml:space="preserve">Indicador típico de falsificación (S20)</t>
  </si>
  <si>
    <t xml:space="preserve">Hipótesis explicativas de un precio del ~2% del PVP (de más a menos probable)</t>
  </si>
  <si>
    <t xml:space="preserve">Hipótesis</t>
  </si>
  <si>
    <t xml:space="preserve">Probabilidad cualitativa</t>
  </si>
  <si>
    <t xml:space="preserve">Consecuencia</t>
  </si>
  <si>
    <t xml:space="preserve">Falsificación (relleno de tabaco no Habanos, anillas y cajas copiadas)</t>
  </si>
  <si>
    <t xml:space="preserve">Muy alta</t>
  </si>
  <si>
    <t xml:space="preserve">Delito contra la propiedad industrial (art. 274 CP); decomiso</t>
  </si>
  <si>
    <t xml:space="preserve">Producto auténtico desviado o sustraído de la cadena estatal cubana</t>
  </si>
  <si>
    <t xml:space="preserve">Alta</t>
  </si>
  <si>
    <t xml:space="preserve">Receptación/contrabando; decomiso; sin derecho de venta</t>
  </si>
  <si>
    <t xml:space="preserve">Producto auténtico de 'segunda' / rechazos de fábrica sin sello</t>
  </si>
  <si>
    <t xml:space="preserve">Media</t>
  </si>
  <si>
    <t xml:space="preserve">Exportación ilegal desde Cuba (Res. 98/2022, S09); no comercializable en España</t>
  </si>
  <si>
    <t xml:space="preserve">Error de comunicación (precio por unidad de otra referencia, o divisa)</t>
  </si>
  <si>
    <t xml:space="preserve">Baja</t>
  </si>
  <si>
    <t xml:space="preserve">Verificar por escrito antes de cualquier conversación adicional</t>
  </si>
  <si>
    <t xml:space="preserve">Oferta legítima de un exportador autorizado</t>
  </si>
  <si>
    <t xml:space="preserve">Prácticamente nula</t>
  </si>
  <si>
    <t xml:space="preserve">Habanos no vende a 2% del PVP; los Behike tienen asignación limitada</t>
  </si>
  <si>
    <t xml:space="preserve">DECISIÓN: NO-GO absoluto. No negociar, no pagar señal, no recibir muestras, no transportar en equipaje. Ver 'Authenticity &amp; Provenance Protocol.pdf'.</t>
  </si>
  <si>
    <t xml:space="preserve">B1 — Importación directa de Habanos (Cohiba, Trinidad, Montecristo, Partagás...)</t>
  </si>
  <si>
    <t xml:space="preserve">Evaluación de acceso. No se modeliza margen porque la vía no es legalmente accesible para un tercero.</t>
  </si>
  <si>
    <t xml:space="preserve">Pregunta</t>
  </si>
  <si>
    <t xml:space="preserve">Respuesta</t>
  </si>
  <si>
    <t xml:space="preserve">¿Puede una SL española comprar directamente a Habanos S.A.?</t>
  </si>
  <si>
    <t xml:space="preserve">No, salvo ser nombrada distribuidor exclusivo por Habanos para un territorio.</t>
  </si>
  <si>
    <t xml:space="preserve">S01, S02, S21</t>
  </si>
  <si>
    <t xml:space="preserve">Distribuidor exclusivo en España (salvo Canarias)</t>
  </si>
  <si>
    <t xml:space="preserve">Tabacalera S.L.U.</t>
  </si>
  <si>
    <t xml:space="preserve">S21</t>
  </si>
  <si>
    <t xml:space="preserve">Situación del distribuidor exclusivo (2026)</t>
  </si>
  <si>
    <t xml:space="preserve">Cuentas bloqueadas por sanciones UE a su accionista indirecto Chen Zhi (30/07/2026); pagos con autorización del Tesoro.</t>
  </si>
  <si>
    <t xml:space="preserve">S21, S23</t>
  </si>
  <si>
    <t xml:space="preserve">¿Importación paralela de Habanos genuinos comprados en Cuba u otro país no-EEE?</t>
  </si>
  <si>
    <t xml:space="preserve">Infringe la marca: el agotamiento en la UE es regional (EEE). Requiere consentimiento del titular.</t>
  </si>
  <si>
    <t xml:space="preserve">N02</t>
  </si>
  <si>
    <t xml:space="preserve">¿Compra a otro distribuidor de la UE (comercio intracomunitario)?</t>
  </si>
  <si>
    <t xml:space="preserve">Agotamiento en el EEE permite reventa de producto puesto legítimamente en el mercado del EEE, pero en España la venta al por menor es monopolio de expendedurías y el mayorista necesita habilitación CMT, marcas fiscales españolas y precio publicado en BOE.</t>
  </si>
  <si>
    <t xml:space="preserve">N02, S17, S18, S27</t>
  </si>
  <si>
    <t xml:space="preserve">¿Ediciones regionales propias?</t>
  </si>
  <si>
    <t xml:space="preserve">Sólo las solicita el distribuidor exclusivo; mínimo 25.000 unidades por referencia.</t>
  </si>
  <si>
    <t xml:space="preserve">S02</t>
  </si>
  <si>
    <t xml:space="preserve">¿Subastas o reventa de colección en España?</t>
  </si>
  <si>
    <t xml:space="preserve">La venta al consumidor fuera de expendedurías no está permitida; las subastas internacionales operan fuera de España.</t>
  </si>
  <si>
    <t xml:space="preserve">S16, S26</t>
  </si>
  <si>
    <t xml:space="preserve">CONCLUSIÓN</t>
  </si>
  <si>
    <t xml:space="preserve">NO-GO para importación directa. Vía legal residual: operar como expendeduría (B2) o como distribuidor intracomunitario habilitado de stock legítimo del EEE (muy limitada y dependiente de que existan márgenes).</t>
  </si>
  <si>
    <t xml:space="preserve">B3 — Importador-distribuidor habilitado de puros premium no cubanos (R. Dominicana, Nicaragua, Honduras)</t>
  </si>
  <si>
    <t xml:space="preserve">Requiere acuerdo de distribución exclusiva con un fabricante que hoy no tenga distribución en España. Lotes por referencia.</t>
  </si>
  <si>
    <t xml:space="preserve">Origen preferente (1 = con preferencia arancelaria, 0 = sin preferencia)</t>
  </si>
  <si>
    <t xml:space="preserve">PVP por unidad (€)</t>
  </si>
  <si>
    <t xml:space="preserve">Precio de compra FOB por unidad (USD), caja incluida</t>
  </si>
  <si>
    <t xml:space="preserve">Flete + seguro + manipulación por unidad (€)</t>
  </si>
  <si>
    <t xml:space="preserve">Tarifa distribuidor logístico (Logista u otro) % PVP</t>
  </si>
  <si>
    <t xml:space="preserve">Merma + muestras (% sobre ventas)</t>
  </si>
  <si>
    <t xml:space="preserve">Referencias nuevas por año (notificación EU-CEG)</t>
  </si>
  <si>
    <t xml:space="preserve">Economía unitaria</t>
  </si>
  <si>
    <t xml:space="preserve">IVA incluido</t>
  </si>
  <si>
    <t xml:space="preserve">IEE</t>
  </si>
  <si>
    <t xml:space="preserve">Tarifa distribuidor logístico</t>
  </si>
  <si>
    <t xml:space="preserve">Ingreso del importador antes de IEE</t>
  </si>
  <si>
    <t xml:space="preserve">Coste CIF por unidad</t>
  </si>
  <si>
    <t xml:space="preserve">Arancel</t>
  </si>
  <si>
    <t xml:space="preserve">Coste en destino (CIF + arancel + marcas)</t>
  </si>
  <si>
    <t xml:space="preserve">Contribución por unidad (tras IEE, coste y merma)</t>
  </si>
  <si>
    <t xml:space="preserve">Contribución / PVP</t>
  </si>
  <si>
    <t xml:space="preserve">Operaciones por tamaño de lote</t>
  </si>
  <si>
    <t xml:space="preserve">Concepto</t>
  </si>
  <si>
    <t xml:space="preserve">Lote pequeño</t>
  </si>
  <si>
    <t xml:space="preserve">Lote mediano</t>
  </si>
  <si>
    <t xml:space="preserve">Lote grande</t>
  </si>
  <si>
    <t xml:space="preserve">Unidades del lote</t>
  </si>
  <si>
    <t xml:space="preserve">Meses para vender el lote (rotación)</t>
  </si>
  <si>
    <t xml:space="preserve">Caja inmovilizada al importar (coste en destino + IEE + IVA importación)</t>
  </si>
  <si>
    <t xml:space="preserve">Contribución del lote</t>
  </si>
  <si>
    <t xml:space="preserve">(-) Despacho y notificaciones atribuibles al lote</t>
  </si>
  <si>
    <t xml:space="preserve">(-) Coste del capital inmovilizado (medio, durante la rotación)</t>
  </si>
  <si>
    <t xml:space="preserve">Beneficio por operación (antes de gastos fijos)</t>
  </si>
  <si>
    <t xml:space="preserve">Rentabilidad por operación sobre caja inmovilizada</t>
  </si>
  <si>
    <t xml:space="preserve">Operaciones al año (12 / rotación)</t>
  </si>
  <si>
    <t xml:space="preserve">Beneficio anual antes de fijos (una referencia)</t>
  </si>
  <si>
    <t xml:space="preserve">Gastos fijos anuales del importador</t>
  </si>
  <si>
    <t xml:space="preserve">Referencias necesarias para cubrir fijos</t>
  </si>
  <si>
    <t xml:space="preserve">Unidades/año para punto muerto</t>
  </si>
  <si>
    <t xml:space="preserve">Beneficio por caja de 20 unidades</t>
  </si>
  <si>
    <t xml:space="preserve">Escenario NO-GO de esta vía: si ningún fabricante concede exclusiva para España o si el distribuidor logístico exige &gt;8% del PVP, la contribución cae por debajo de 2 €/u (ver 'Comparativa').</t>
  </si>
  <si>
    <t xml:space="preserve">B2 — Explotar una expendeduría especializada (canal minorista legal de Habanos)</t>
  </si>
  <si>
    <t xml:space="preserve">Referencia económica. La titularidad es personal (persona física) y exige gestión directa: incompatible a priori con el traslado del promotor a Andorra.</t>
  </si>
  <si>
    <t xml:space="preserve">Ventas anuales de puros premium (PVP con impuestos, €)</t>
  </si>
  <si>
    <t xml:space="preserve">Margen legal del expendedor sobre PVP</t>
  </si>
  <si>
    <t xml:space="preserve">Margen bruto de puros (€)</t>
  </si>
  <si>
    <t xml:space="preserve">Otras labores y productos (margen bruto, €)</t>
  </si>
  <si>
    <t xml:space="preserve">Gastos de explotación (personal, local, humidor, seguros) €</t>
  </si>
  <si>
    <t xml:space="preserve">Resultado antes de impuestos (€)</t>
  </si>
  <si>
    <t xml:space="preserve">Inversión: adquisición/traspaso de la concesión + local + humidor (€)</t>
  </si>
  <si>
    <t xml:space="preserve">Rentabilidad sobre inversión</t>
  </si>
  <si>
    <t xml:space="preserve">Estado: HIPÓTESIS en todos los importes salvo el margen. El precio de una transmisión de expendeduría y los requisitos personales deben confirmarse con el CMT (RD 1199/1999).</t>
  </si>
  <si>
    <t xml:space="preserve">Aprovisionamiento de Habanos depende del distribuidor exclusivo (Tabacalera), hoy afectado por sanciones (S21).</t>
  </si>
  <si>
    <t xml:space="preserve">Comparativa de vías del Proyecto B</t>
  </si>
  <si>
    <t xml:space="preserve">Vía</t>
  </si>
  <si>
    <t xml:space="preserve">Acceso legal</t>
  </si>
  <si>
    <t xml:space="preserve">Capital</t>
  </si>
  <si>
    <t xml:space="preserve">Margen potencial</t>
  </si>
  <si>
    <t xml:space="preserve">Barrera principal</t>
  </si>
  <si>
    <t xml:space="preserve">Decisión</t>
  </si>
  <si>
    <t xml:space="preserve">B1 Importación directa de Habanos</t>
  </si>
  <si>
    <t xml:space="preserve">No accesible</t>
  </si>
  <si>
    <t xml:space="preserve">—</t>
  </si>
  <si>
    <t xml:space="preserve">Exclusiva de Habanos/Tabacalera; importación paralela = infracción de marca</t>
  </si>
  <si>
    <t xml:space="preserve">NO-GO</t>
  </si>
  <si>
    <t xml:space="preserve">B1' Distribución intracomunitaria de Habanos del EEE</t>
  </si>
  <si>
    <t xml:space="preserve">Muy limitada</t>
  </si>
  <si>
    <t xml:space="preserve">Alto</t>
  </si>
  <si>
    <t xml:space="preserve">Bajo</t>
  </si>
  <si>
    <t xml:space="preserve">Requiere habilitación, marcas fiscales españolas y precio BOE; margen comprimido por precios oficiales</t>
  </si>
  <si>
    <t xml:space="preserve">NO-GO salvo oportunidad documentada</t>
  </si>
  <si>
    <t xml:space="preserve">B2 Expendeduría especializada</t>
  </si>
  <si>
    <t xml:space="preserve">Legal (titular persona física)</t>
  </si>
  <si>
    <t xml:space="preserve">200–300 k€ (HIPÓTESIS)</t>
  </si>
  <si>
    <t xml:space="preserve">Bajo-medio</t>
  </si>
  <si>
    <t xml:space="preserve">Incompatible con residencia en Andorra; aprovisionamiento afectado por sanciones a Tabacalera</t>
  </si>
  <si>
    <t xml:space="preserve">NO prioritaria</t>
  </si>
  <si>
    <t xml:space="preserve">B3 Importador de marcas no cubanas</t>
  </si>
  <si>
    <t xml:space="preserve">Legal con habilitación CMT</t>
  </si>
  <si>
    <t xml:space="preserve">30–75 k€</t>
  </si>
  <si>
    <t xml:space="preserve">Medio</t>
  </si>
  <si>
    <t xml:space="preserve">Requiere exclusiva de fabricante y aceptación del distribuidor logístico</t>
  </si>
  <si>
    <t xml:space="preserve">GO condicionado a validación</t>
  </si>
  <si>
    <t xml:space="preserve">Oferta Behike 56 a 50 €/caja</t>
  </si>
  <si>
    <t xml:space="preserve">Ilegal / no acreditada</t>
  </si>
  <si>
    <t xml:space="preserve">Falsificación o desvío casi seguros</t>
  </si>
  <si>
    <t xml:space="preserve">NO-GO absoluto</t>
  </si>
  <si>
    <t xml:space="preserve">Contribución unitaria B3 con los supuestos actuales (€/u)</t>
  </si>
  <si>
    <t xml:space="preserve">Unidades/año punto muerto B3 (lote mediano)</t>
  </si>
  <si>
    <t xml:space="preserve">Fuentes (consulta 10/10/2026)</t>
  </si>
  <si>
    <t xml:space="preserve">ID</t>
  </si>
  <si>
    <t xml:space="preserve">Dato</t>
  </si>
  <si>
    <t xml:space="preserve">URL</t>
  </si>
  <si>
    <t xml:space="preserve">S01</t>
  </si>
  <si>
    <t xml:space="preserve">Habanos S.A. — ficha enciclopédica</t>
  </si>
  <si>
    <t xml:space="preserve">Habanos S.A. (1994) controla promoción, distribución y exportación mundial de puros premium cubanos; estructura 50/50 Cubatabaco / socio privado.</t>
  </si>
  <si>
    <t xml:space="preserve">VERIFICADO (con S05, S21)</t>
  </si>
  <si>
    <t xml:space="preserve">https://en.wikipedia.org/wiki/Habanos_S.A.</t>
  </si>
  <si>
    <t xml:space="preserve">Cigar Aficionado — New Cuban cigars / Regional Editions</t>
  </si>
  <si>
    <t xml:space="preserve">Ediciones Regionales: las solicitan distribuidores exclusivos; compra de 25.000 unidades por referencia; exclusividad regional &gt;= 2 años.</t>
  </si>
  <si>
    <t xml:space="preserve">https://www.cigaraficionado.com/article/new-cuban-cigars-from-habanos</t>
  </si>
  <si>
    <t xml:space="preserve">S09</t>
  </si>
  <si>
    <t xml:space="preserve">Directorio Cubano — Nota de la Aduana de Cuba sobre decomisos</t>
  </si>
  <si>
    <t xml:space="preserve">Exportación de tabaco torcido regulada por la Resolución 98/2022 del MINAG; viajeros: hasta 20 unidades sueltas sin documentación; más, con factura de tienda autorizada.</t>
  </si>
  <si>
    <t xml:space="preserve">https://www.directoriocubano.info/cuba/nota-informativa-de-la-aduana-de-cuba-sobre-nuevos-decomisos-en-el-aeropuerto-jose-marti-de-la-habana/</t>
  </si>
  <si>
    <t xml:space="preserve">Agencia Tributaria — Novedades Ley 7/2024 en Impuestos Especiales (vigor 2025)</t>
  </si>
  <si>
    <t xml:space="preserve">Cigarros y cigarritos: 15,8% sobre PVP; mínimo 47 €/1.000 unidades.</t>
  </si>
  <si>
    <t xml:space="preserve">https://sede.agenciatributaria.gob.es/Sede/impuestos-especiales-medioambientales/novedades-impuestos-especiales-medioambientales/2024/diciembre/26/novedades-ley-72024-materia-impuestos-2025.html</t>
  </si>
  <si>
    <t xml:space="preserve">Ley 13/1998 de Ordenación del Mercado de Tabacos (BOE-A-1998-10407)</t>
  </si>
  <si>
    <t xml:space="preserve">Margen de expendedores: 8,5% general; cigarros 9% (texto original). Pendiente confirmar redacción consolidada vigente.</t>
  </si>
  <si>
    <t xml:space="preserve">https://www.boe.es/buscar/doc.php?id=BOE-A-1998-10407</t>
  </si>
  <si>
    <t xml:space="preserve">S16</t>
  </si>
  <si>
    <t xml:space="preserve">Real Decreto 1199/1999 (consolidado BOE, últ. act. 10/07/2025)</t>
  </si>
  <si>
    <t xml:space="preserve">Desarrolla Ley 13/1998: estatuto concesional de expendedurías; art. 31 remite a márgenes de la Ley; libertad de fabricación, importación y mayorista con habilitación.</t>
  </si>
  <si>
    <t xml:space="preserve">https://www.boe.es/buscar/act.php?id=BOE-A-1999-15353</t>
  </si>
  <si>
    <t xml:space="preserve">S17</t>
  </si>
  <si>
    <t xml:space="preserve">Comisionado para el Mercado de Tabacos — Guía para operadores mayoristas (v. 28/10/2024)</t>
  </si>
  <si>
    <t xml:space="preserve">Habilitación como fabricante (incluye titulares de marca e importadores) y como distribuidor: plazo máximo de resolución 15 días hábiles; obligaciones de información mensual/anual.</t>
  </si>
  <si>
    <t xml:space="preserve">https://www.hacienda.gob.es/es-ES/Areas%20Tematicas/CMTabacos/Paginas/MayoristasCMT.aspx</t>
  </si>
  <si>
    <t xml:space="preserve">S18</t>
  </si>
  <si>
    <t xml:space="preserve">BOE — Resoluciones del CMT de precios de venta al público 2026 (p.ej. BOE-A-2026-12799, BOE-A-2026-16756)</t>
  </si>
  <si>
    <t xml:space="preserve">Los PVP de cada labor se publican por resolución del CMT en el BOE antes de su aplicación en expendedurías.</t>
  </si>
  <si>
    <t xml:space="preserve">https://www.boe.es/diario_boe/txt.php?id=BOE-A-2026-12799</t>
  </si>
  <si>
    <t xml:space="preserve">S19</t>
  </si>
  <si>
    <t xml:space="preserve">Tabacon.es — Cohiba Behike BHK 56 (10)</t>
  </si>
  <si>
    <t xml:space="preserve">PVP expendeduría (mar-2026): 262,50 €/unidad; caja de 10: 2.625 €; punto de venta con recargo: 301,90 €/u.</t>
  </si>
  <si>
    <t xml:space="preserve">PROBABLE (coherente con S20)</t>
  </si>
  <si>
    <t xml:space="preserve">https://tabacon.es/tabacos/cohiba-behike-bhk-56-10/</t>
  </si>
  <si>
    <t xml:space="preserve">S20</t>
  </si>
  <si>
    <t xml:space="preserve">Cigar Aficionado — Ten facts about Cohiba Behike / price increases</t>
  </si>
  <si>
    <t xml:space="preserve">Behike auténtico sólo en cajas de 10; las cajas de 25 son falsificación habitual; en 2023 BHK 56 en España a 250 €/u.</t>
  </si>
  <si>
    <t xml:space="preserve">VERIFICADO (2 artículos)</t>
  </si>
  <si>
    <t xml:space="preserve">https://www.cigaraficionado.com/article/ten-facts-about-cohiba-behike-cuba-s-top-cigar-brand</t>
  </si>
  <si>
    <t xml:space="preserve">14ymedio / Periódico Cubano / Directorio Cubano — congelación de cuentas de Tabacalera (2026)</t>
  </si>
  <si>
    <t xml:space="preserve">Tabacalera S.L.U., distribuidor exclusivo de Habanos en España (salvo Canarias), con cuentas bloqueadas por sanciones UE a Chen Zhi (30/07/2026); pagos sujetos a autorización del Tesoro.</t>
  </si>
  <si>
    <t xml:space="preserve">VERIFICADO (3 medios)</t>
  </si>
  <si>
    <t xml:space="preserve">https://www.14ymedio.com/internacional/autoridades-espanolas-congelan-cuentas-tabacalera_1_1130763.html</t>
  </si>
  <si>
    <t xml:space="preserve">S23</t>
  </si>
  <si>
    <t xml:space="preserve">Nicotine Insider — Chen Zhi sanctions hit EU cigar distribution (05/09/2026)</t>
  </si>
  <si>
    <t xml:space="preserve">El CEO de Tabacalera reconoce estar sujeta a las sanciones y busca licencia UE; licencias temporales en EE.UU. y Reino Unido.</t>
  </si>
  <si>
    <t xml:space="preserve">https://nicotineinsider.com/2026/09/05/zhi-sanctions-hit-eu-cigar-distribution-network/</t>
  </si>
  <si>
    <t xml:space="preserve">S26</t>
  </si>
  <si>
    <t xml:space="preserve">CNMC — expediente sector tabaco</t>
  </si>
  <si>
    <t xml:space="preserve">Distribución mayorista liberalizada con licencia previa del CMT; ~13.000 expendedurías como canal minorista en monopolio.</t>
  </si>
  <si>
    <t xml:space="preserve">https://cnmc.es/sites/default/files/2951887_1.pdf</t>
  </si>
  <si>
    <t xml:space="preserve">S27</t>
  </si>
  <si>
    <t xml:space="preserve">Orden HAC/66/2024 (BOE-A-2024-1990) y RD 1171/2023</t>
  </si>
  <si>
    <t xml:space="preserve">Marcas fiscales obligatorias para cigarros y demás labores desde el 20/05/2024; FNMT suministra elementos de autenticación.</t>
  </si>
  <si>
    <t xml:space="preserve">https://www.boe.es/boe/dias/2024/02/02/pdfs/BOE-A-2024-1990.pdf</t>
  </si>
  <si>
    <t xml:space="preserve">S28</t>
  </si>
  <si>
    <t xml:space="preserve">Comisión Europea — Systems for tobacco traceability and security features</t>
  </si>
  <si>
    <t xml:space="preserve">Trazabilidad (Reg. Ejec. 2018/574): resto de productos del tabaco desde 20/05/2024; identificador único + elemento de seguridad.</t>
  </si>
  <si>
    <t xml:space="preserve">https://health.ec.europa.eu/tobacco/product-regulation/systems-tobacco-traceability-and-security-features_en</t>
  </si>
  <si>
    <t xml:space="preserve">S29</t>
  </si>
  <si>
    <t xml:space="preserve">Ministerio de Sanidad — nota sobre RD de transposición de la Directiva 2014/40/UE; portal EU-CEG</t>
  </si>
  <si>
    <t xml:space="preserve">Fabricantes e importadores comunican ingredientes por marca y tipo vía EU-CEG antes de comercializar.</t>
  </si>
  <si>
    <t xml:space="preserve">VERIFICADO (plazo concreto PENDIENTE)</t>
  </si>
  <si>
    <t xml:space="preserve">https://www.sanidad.gob.es/gabinete/notasPrensa.do?id=4174</t>
  </si>
  <si>
    <t xml:space="preserve">UK Integrated Online Tariff — 2402100000</t>
  </si>
  <si>
    <t xml:space="preserve">Derecho tercer país RU 25%. El derecho convencional UE (26%) se toma como PROBABLE pendiente de TARIC.</t>
  </si>
  <si>
    <t xml:space="preserve">https://www.trade-tariff.service.gov.uk/commodities/2402100000</t>
  </si>
  <si>
    <t xml:space="preserve">S33</t>
  </si>
  <si>
    <t xml:space="preserve">Access2Markets — EPA UE-CARIFORUM</t>
  </si>
  <si>
    <t xml:space="preserve">Acceso libre de derechos y contingentes a la UE para productos CARIFORUM (incl. R. Dominicana), salvo armas, con prueba de origen.</t>
  </si>
  <si>
    <t xml:space="preserve">PROBABLE (aplicación a 2402 por confirmar en TARIC)</t>
  </si>
  <si>
    <t xml:space="preserve">https://trade.ec.europa.eu/access-to-markets/de/content/epa-caribbean-cariforum</t>
  </si>
  <si>
    <t xml:space="preserve">S36</t>
  </si>
  <si>
    <t xml:space="preserve">Habanos S.A. — Authenticity Check / Moodie Davitt Report</t>
  </si>
  <si>
    <t xml:space="preserve">Sello de garantía con holograma, código de barras único por caja, microtextos; NFC en ediciones seleccionadas; 'Hecho en Cuba' estampado en caliente.</t>
  </si>
  <si>
    <t xml:space="preserve">https://moodiedavittreport.com/habanos-steps-up-anti-counterfeit-efforts-with-enhanced-authentication-system/</t>
  </si>
  <si>
    <t xml:space="preserve">S38</t>
  </si>
  <si>
    <t xml:space="preserve">BOE — Resolución CMT de 22/05/2026 (precios)</t>
  </si>
  <si>
    <t xml:space="preserve">Davidoff Puro Dominicano Short Robusto 15,50 €; Padrón 2000 11,90 €; Padrón Damaso No. 15 20,00 €; Padrón 1926 80th 42,00 €.</t>
  </si>
  <si>
    <t xml:space="preserve">https://www.boe.es/eli/es/res/2026/05/22/(1)</t>
  </si>
  <si>
    <t xml:space="preserve">Ley Orgánica 12/1995 de Represión del Contrabando (mod. LO 6/2011)</t>
  </si>
  <si>
    <t xml:space="preserve">Delito de contrabando en labores de tabaco a partir de 15.000 € de valor; por debajo, infracción administrativa.</t>
  </si>
  <si>
    <t xml:space="preserve">https://www.boe.es/buscar/act.php?id=BOE-A-1995-26836</t>
  </si>
  <si>
    <t xml:space="preserve">Reglamento (UE) 2017/1001 sobre la marca de la UE, art. 15; STJUE C-355/96 Silhouette</t>
  </si>
  <si>
    <t xml:space="preserve">Agotamiento del derecho de marca sólo regional (EEE): importar desde terceros países producto genuino sin consentimiento del titular infringe la marca.</t>
  </si>
  <si>
    <t xml:space="preserve">https://eur-lex.europa.eu/eli/reg/2017/1001/oj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</si>
</sst>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"/>
    <numFmt numFmtId="166" formatCode="#,##0&quot; €&quot;;[RED]\-#,##0&quot; €&quot;"/>
    <numFmt numFmtId="167" formatCode="#,##0.00&quot; €&quot;;[RED]\-#,##0.00&quot; €&quot;"/>
    <numFmt numFmtId="168" formatCode="#,##0;[RED]\-#,##0"/>
    <numFmt numFmtId="169" formatCode="#,##0.00;[RED]\-#,##0.00"/>
    <numFmt numFmtId="170" formatCode="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1A17"/>
      <name val="Calibri"/>
      <family val="0"/>
      <charset val="1"/>
    </font>
    <font>
      <i val="true"/>
      <sz val="10"/>
      <color rgb="FF666666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0"/>
      <color rgb="FF9C0006"/>
      <name val="Calibri"/>
      <family val="0"/>
      <charset val="1"/>
    </font>
    <font>
      <sz val="10"/>
      <color rgb="FF1F4E9E"/>
      <name val="Calibri"/>
      <family val="0"/>
      <charset val="1"/>
    </font>
    <font>
      <i val="true"/>
      <sz val="9"/>
      <color rgb="FF666666"/>
      <name val="Calibri"/>
      <family val="0"/>
      <charset val="1"/>
    </font>
    <font>
      <b val="true"/>
      <sz val="11"/>
      <color rgb="FF5A3E2B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5A3E2B"/>
        <bgColor rgb="FF666666"/>
      </patternFill>
    </fill>
    <fill>
      <patternFill patternType="solid">
        <fgColor rgb="FFE2F0D9"/>
        <bgColor rgb="FFEFE7DA"/>
      </patternFill>
    </fill>
    <fill>
      <patternFill patternType="solid">
        <fgColor rgb="FFFADBD8"/>
        <bgColor rgb="FFEFE7DA"/>
      </patternFill>
    </fill>
    <fill>
      <patternFill patternType="solid">
        <fgColor rgb="FFFFF8E1"/>
        <bgColor rgb="FFFFFFFF"/>
      </patternFill>
    </fill>
    <fill>
      <patternFill patternType="solid">
        <fgColor rgb="FFEFE7DA"/>
        <bgColor rgb="FFE2F0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8E1"/>
      <rgbColor rgb="FFEFE7D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1B1A17"/>
      <rgbColor rgb="FF993300"/>
      <rgbColor rgb="FF993366"/>
      <rgbColor rgb="FF1F4E9E"/>
      <rgbColor rgb="FF5A3E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2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5" t="n">
        <f aca="false">'Oferta Behike 56'!B7</f>
        <v>0.0190476190476191</v>
      </c>
    </row>
    <row r="6" customFormat="false" ht="15" hidden="false" customHeight="false" outlineLevel="0" collapsed="false">
      <c r="A6" s="4" t="s">
        <v>5</v>
      </c>
      <c r="B6" s="6" t="n">
        <f aca="false">'Oferta Behike 56'!B11</f>
        <v>52500</v>
      </c>
    </row>
    <row r="7" customFormat="false" ht="15" hidden="false" customHeight="false" outlineLevel="0" collapsed="false">
      <c r="A7" s="4" t="s">
        <v>6</v>
      </c>
      <c r="B7" s="7" t="n">
        <f aca="false">'B3 Importador no cubano'!B22</f>
        <v>3.93962899748473</v>
      </c>
    </row>
    <row r="8" customFormat="false" ht="15" hidden="false" customHeight="false" outlineLevel="0" collapsed="false">
      <c r="A8" s="4" t="s">
        <v>7</v>
      </c>
      <c r="B8" s="5" t="n">
        <f aca="false">'B3 Importador no cubano'!B23</f>
        <v>0.262641933165649</v>
      </c>
    </row>
    <row r="9" customFormat="false" ht="15" hidden="false" customHeight="false" outlineLevel="0" collapsed="false">
      <c r="A9" s="4" t="s">
        <v>8</v>
      </c>
      <c r="B9" s="6" t="n">
        <f aca="false">'B3 Importador no cubano'!C29</f>
        <v>44404.5652173913</v>
      </c>
    </row>
    <row r="10" customFormat="false" ht="15" hidden="false" customHeight="false" outlineLevel="0" collapsed="false">
      <c r="A10" s="4" t="s">
        <v>9</v>
      </c>
      <c r="B10" s="6" t="n">
        <f aca="false">'B3 Importador no cubano'!C33</f>
        <v>21255.6370283866</v>
      </c>
    </row>
    <row r="11" customFormat="false" ht="15" hidden="false" customHeight="false" outlineLevel="0" collapsed="false">
      <c r="A11" s="4" t="s">
        <v>10</v>
      </c>
      <c r="B11" s="8" t="n">
        <f aca="false">'B3 Importador no cubano'!C39</f>
        <v>4721.25675079436</v>
      </c>
    </row>
    <row r="12" customFormat="false" ht="15" hidden="false" customHeight="false" outlineLevel="0" collapsed="false">
      <c r="A12" s="4" t="s">
        <v>11</v>
      </c>
      <c r="B12" s="5" t="n">
        <f aca="false">'B2 Expendeduría'!B11</f>
        <v>-0.016</v>
      </c>
    </row>
    <row r="14" customFormat="false" ht="15" hidden="false" customHeight="false" outlineLevel="0" collapsed="false">
      <c r="A14" s="9" t="s">
        <v>12</v>
      </c>
      <c r="B14" s="9"/>
      <c r="C14" s="9"/>
      <c r="D14" s="9"/>
    </row>
  </sheetData>
  <mergeCells count="1">
    <mergeCell ref="A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40"/>
  </cols>
  <sheetData>
    <row r="1" customFormat="false" ht="19.7" hidden="false" customHeight="false" outlineLevel="0" collapsed="false">
      <c r="A1" s="1" t="s">
        <v>13</v>
      </c>
    </row>
    <row r="2" customFormat="false" ht="15" hidden="false" customHeight="false" outlineLevel="0" collapsed="false">
      <c r="A2" s="2" t="s">
        <v>14</v>
      </c>
    </row>
    <row r="3" customFormat="false" ht="23.85" hidden="false" customHeight="false" outlineLevel="0" collapsed="false">
      <c r="B3" s="10" t="s">
        <v>15</v>
      </c>
      <c r="C3" s="11" t="s">
        <v>16</v>
      </c>
      <c r="D3" s="12" t="s">
        <v>17</v>
      </c>
      <c r="E3" s="13" t="s">
        <v>18</v>
      </c>
    </row>
    <row r="5" customFormat="false" ht="15" hidden="false" customHeight="false" outlineLevel="0" collapsed="false">
      <c r="A5" s="3" t="s">
        <v>19</v>
      </c>
      <c r="B5" s="3" t="s">
        <v>3</v>
      </c>
      <c r="C5" s="3" t="s">
        <v>20</v>
      </c>
      <c r="D5" s="3" t="s">
        <v>21</v>
      </c>
    </row>
    <row r="6" customFormat="false" ht="15" hidden="false" customHeight="false" outlineLevel="0" collapsed="false">
      <c r="A6" s="4" t="s">
        <v>22</v>
      </c>
      <c r="B6" s="14" t="n">
        <v>0.21</v>
      </c>
      <c r="C6" s="4" t="s">
        <v>23</v>
      </c>
      <c r="D6" s="15" t="s">
        <v>24</v>
      </c>
    </row>
    <row r="7" customFormat="false" ht="15" hidden="false" customHeight="false" outlineLevel="0" collapsed="false">
      <c r="A7" s="4" t="s">
        <v>25</v>
      </c>
      <c r="B7" s="14" t="n">
        <v>0.158</v>
      </c>
      <c r="C7" s="4" t="s">
        <v>23</v>
      </c>
      <c r="D7" s="15" t="s">
        <v>26</v>
      </c>
    </row>
    <row r="8" customFormat="false" ht="15" hidden="false" customHeight="false" outlineLevel="0" collapsed="false">
      <c r="A8" s="4" t="s">
        <v>27</v>
      </c>
      <c r="B8" s="16" t="n">
        <v>47</v>
      </c>
      <c r="C8" s="4" t="s">
        <v>23</v>
      </c>
      <c r="D8" s="15" t="s">
        <v>26</v>
      </c>
    </row>
    <row r="9" customFormat="false" ht="15" hidden="false" customHeight="false" outlineLevel="0" collapsed="false">
      <c r="A9" s="4" t="s">
        <v>28</v>
      </c>
      <c r="B9" s="14" t="n">
        <v>0.09</v>
      </c>
      <c r="C9" s="4" t="s">
        <v>29</v>
      </c>
      <c r="D9" s="15" t="s">
        <v>30</v>
      </c>
    </row>
    <row r="10" customFormat="false" ht="15" hidden="false" customHeight="false" outlineLevel="0" collapsed="false">
      <c r="A10" s="4" t="s">
        <v>31</v>
      </c>
      <c r="B10" s="14" t="n">
        <v>0.26</v>
      </c>
      <c r="C10" s="4" t="s">
        <v>29</v>
      </c>
      <c r="D10" s="15" t="s">
        <v>32</v>
      </c>
    </row>
    <row r="11" customFormat="false" ht="15" hidden="false" customHeight="false" outlineLevel="0" collapsed="false">
      <c r="A11" s="4" t="s">
        <v>33</v>
      </c>
      <c r="B11" s="14" t="n">
        <v>0</v>
      </c>
      <c r="C11" s="4" t="s">
        <v>29</v>
      </c>
      <c r="D11" s="15" t="s">
        <v>34</v>
      </c>
    </row>
    <row r="12" customFormat="false" ht="15" hidden="false" customHeight="false" outlineLevel="0" collapsed="false">
      <c r="A12" s="4" t="s">
        <v>35</v>
      </c>
      <c r="B12" s="16" t="n">
        <v>1.15</v>
      </c>
      <c r="C12" s="4" t="s">
        <v>36</v>
      </c>
      <c r="D12" s="15"/>
    </row>
    <row r="13" customFormat="false" ht="15" hidden="false" customHeight="false" outlineLevel="0" collapsed="false">
      <c r="A13" s="4" t="s">
        <v>37</v>
      </c>
      <c r="B13" s="17" t="n">
        <v>0.03</v>
      </c>
      <c r="C13" s="4" t="s">
        <v>36</v>
      </c>
      <c r="D13" s="15" t="s">
        <v>38</v>
      </c>
    </row>
    <row r="14" customFormat="false" ht="15" hidden="false" customHeight="false" outlineLevel="0" collapsed="false">
      <c r="A14" s="4" t="s">
        <v>39</v>
      </c>
      <c r="B14" s="18" t="n">
        <v>450</v>
      </c>
      <c r="C14" s="4" t="s">
        <v>36</v>
      </c>
      <c r="D14" s="15"/>
    </row>
    <row r="15" customFormat="false" ht="15" hidden="false" customHeight="false" outlineLevel="0" collapsed="false">
      <c r="A15" s="4" t="s">
        <v>40</v>
      </c>
      <c r="B15" s="18" t="n">
        <v>600</v>
      </c>
      <c r="C15" s="4" t="s">
        <v>36</v>
      </c>
      <c r="D15" s="15" t="s">
        <v>41</v>
      </c>
    </row>
    <row r="16" customFormat="false" ht="15" hidden="false" customHeight="false" outlineLevel="0" collapsed="false">
      <c r="A16" s="4" t="s">
        <v>42</v>
      </c>
      <c r="B16" s="18" t="n">
        <v>18000</v>
      </c>
      <c r="C16" s="4" t="s">
        <v>36</v>
      </c>
      <c r="D16" s="15" t="s">
        <v>43</v>
      </c>
    </row>
    <row r="17" customFormat="false" ht="15" hidden="false" customHeight="false" outlineLevel="0" collapsed="false">
      <c r="A17" s="4" t="s">
        <v>44</v>
      </c>
      <c r="B17" s="14" t="n">
        <v>0.08</v>
      </c>
      <c r="C17" s="4" t="s">
        <v>36</v>
      </c>
      <c r="D17" s="15"/>
    </row>
    <row r="18" customFormat="false" ht="15" hidden="false" customHeight="false" outlineLevel="0" collapsed="false">
      <c r="A18" s="4" t="s">
        <v>45</v>
      </c>
      <c r="B18" s="17" t="n">
        <v>262.5</v>
      </c>
      <c r="C18" s="4" t="s">
        <v>29</v>
      </c>
      <c r="D18" s="15" t="s">
        <v>46</v>
      </c>
    </row>
    <row r="19" customFormat="false" ht="15" hidden="false" customHeight="false" outlineLevel="0" collapsed="false">
      <c r="A19" s="4" t="s">
        <v>47</v>
      </c>
      <c r="B19" s="17" t="n">
        <v>50</v>
      </c>
      <c r="C19" s="4" t="s">
        <v>36</v>
      </c>
      <c r="D19" s="15" t="s">
        <v>48</v>
      </c>
    </row>
    <row r="20" customFormat="false" ht="15" hidden="false" customHeight="false" outlineLevel="0" collapsed="false">
      <c r="A20" s="4" t="s">
        <v>49</v>
      </c>
      <c r="B20" s="18" t="n">
        <v>15000</v>
      </c>
      <c r="C20" s="4" t="s">
        <v>29</v>
      </c>
      <c r="D20" s="15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8" topLeftCell="A1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40"/>
    <col collapsed="false" customWidth="true" hidden="false" outlineLevel="0" max="3" min="3" style="0" width="60"/>
  </cols>
  <sheetData>
    <row r="1" customFormat="false" ht="19.7" hidden="false" customHeight="false" outlineLevel="0" collapsed="false">
      <c r="A1" s="1" t="s">
        <v>51</v>
      </c>
    </row>
    <row r="2" customFormat="false" ht="15" hidden="false" customHeight="false" outlineLevel="0" collapsed="false">
      <c r="A2" s="2" t="s">
        <v>52</v>
      </c>
    </row>
    <row r="4" customFormat="false" ht="15" hidden="false" customHeight="false" outlineLevel="0" collapsed="false">
      <c r="A4" s="4" t="s">
        <v>53</v>
      </c>
      <c r="B4" s="19" t="n">
        <v>20</v>
      </c>
    </row>
    <row r="5" customFormat="false" ht="15" hidden="false" customHeight="false" outlineLevel="0" collapsed="false">
      <c r="A5" s="4" t="s">
        <v>54</v>
      </c>
      <c r="B5" s="20" t="n">
        <f aca="false">Supuestos!$B$18*10</f>
        <v>2625</v>
      </c>
    </row>
    <row r="6" customFormat="false" ht="15" hidden="false" customHeight="false" outlineLevel="0" collapsed="false">
      <c r="A6" s="4" t="s">
        <v>55</v>
      </c>
      <c r="B6" s="20" t="n">
        <f aca="false">Supuestos!$B$19</f>
        <v>50</v>
      </c>
    </row>
    <row r="7" customFormat="false" ht="15" hidden="false" customHeight="false" outlineLevel="0" collapsed="false">
      <c r="A7" s="4" t="s">
        <v>56</v>
      </c>
      <c r="B7" s="5" t="n">
        <f aca="false">B6/B5</f>
        <v>0.0190476190476191</v>
      </c>
    </row>
    <row r="8" customFormat="false" ht="15" hidden="false" customHeight="false" outlineLevel="0" collapsed="false">
      <c r="A8" s="4" t="s">
        <v>57</v>
      </c>
      <c r="B8" s="5" t="n">
        <f aca="false">1-B7</f>
        <v>0.980952380952381</v>
      </c>
    </row>
    <row r="9" customFormat="false" ht="15" hidden="false" customHeight="false" outlineLevel="0" collapsed="false">
      <c r="A9" s="4" t="s">
        <v>58</v>
      </c>
      <c r="B9" s="20" t="n">
        <f aca="false">B5*Supuestos!$B$6/(1+Supuestos!$B$6)+B5*Supuestos!$B$7</f>
        <v>870.328512396694</v>
      </c>
    </row>
    <row r="10" customFormat="false" ht="15" hidden="false" customHeight="false" outlineLevel="0" collapsed="false">
      <c r="A10" s="4" t="s">
        <v>59</v>
      </c>
      <c r="B10" s="9" t="str">
        <f aca="false">IF(B6&gt;=B9,"Sí","NO: el precio no cubre ni el 6% del IVA+IEE que soporta la caja")</f>
        <v>NO: el precio no cubre ni el 6% del IVA+IEE que soporta la caja</v>
      </c>
    </row>
    <row r="11" customFormat="false" ht="15" hidden="false" customHeight="false" outlineLevel="0" collapsed="false">
      <c r="A11" s="4" t="s">
        <v>60</v>
      </c>
      <c r="B11" s="20" t="n">
        <f aca="false">B4*B5</f>
        <v>52500</v>
      </c>
    </row>
    <row r="12" customFormat="false" ht="15" hidden="false" customHeight="false" outlineLevel="0" collapsed="false">
      <c r="A12" s="4" t="s">
        <v>61</v>
      </c>
      <c r="B12" s="9" t="str">
        <f aca="false">IF(B11&gt;=Supuestos!$B$20,"SÍ: exposición penal (LO 12/1995)","No: infracción administrativa")</f>
        <v>SÍ: exposición penal (LO 12/1995)</v>
      </c>
    </row>
    <row r="13" customFormat="false" ht="15" hidden="false" customHeight="false" outlineLevel="0" collapsed="false">
      <c r="A13" s="4" t="s">
        <v>62</v>
      </c>
      <c r="B13" s="4" t="s">
        <v>63</v>
      </c>
    </row>
    <row r="14" customFormat="false" ht="15" hidden="false" customHeight="false" outlineLevel="0" collapsed="false">
      <c r="A14" s="4" t="s">
        <v>64</v>
      </c>
      <c r="B14" s="4" t="s">
        <v>65</v>
      </c>
    </row>
    <row r="17" customFormat="false" ht="15" hidden="false" customHeight="false" outlineLevel="0" collapsed="false">
      <c r="A17" s="21" t="s">
        <v>66</v>
      </c>
      <c r="B17" s="22"/>
      <c r="C17" s="22"/>
      <c r="D17" s="22"/>
    </row>
    <row r="18" customFormat="false" ht="15" hidden="false" customHeight="false" outlineLevel="0" collapsed="false">
      <c r="A18" s="3" t="s">
        <v>67</v>
      </c>
      <c r="B18" s="3" t="s">
        <v>68</v>
      </c>
      <c r="C18" s="3" t="s">
        <v>69</v>
      </c>
    </row>
    <row r="19" customFormat="false" ht="15" hidden="false" customHeight="false" outlineLevel="0" collapsed="false">
      <c r="A19" s="23" t="s">
        <v>70</v>
      </c>
      <c r="B19" s="23" t="s">
        <v>71</v>
      </c>
      <c r="C19" s="23" t="s">
        <v>72</v>
      </c>
    </row>
    <row r="20" customFormat="false" ht="15" hidden="false" customHeight="false" outlineLevel="0" collapsed="false">
      <c r="A20" s="23" t="s">
        <v>73</v>
      </c>
      <c r="B20" s="23" t="s">
        <v>74</v>
      </c>
      <c r="C20" s="23" t="s">
        <v>75</v>
      </c>
    </row>
    <row r="21" customFormat="false" ht="15" hidden="false" customHeight="false" outlineLevel="0" collapsed="false">
      <c r="A21" s="23" t="s">
        <v>76</v>
      </c>
      <c r="B21" s="23" t="s">
        <v>77</v>
      </c>
      <c r="C21" s="23" t="s">
        <v>78</v>
      </c>
    </row>
    <row r="22" customFormat="false" ht="15" hidden="false" customHeight="false" outlineLevel="0" collapsed="false">
      <c r="A22" s="23" t="s">
        <v>79</v>
      </c>
      <c r="B22" s="23" t="s">
        <v>80</v>
      </c>
      <c r="C22" s="23" t="s">
        <v>81</v>
      </c>
    </row>
    <row r="23" customFormat="false" ht="15" hidden="false" customHeight="false" outlineLevel="0" collapsed="false">
      <c r="A23" s="23" t="s">
        <v>82</v>
      </c>
      <c r="B23" s="23" t="s">
        <v>83</v>
      </c>
      <c r="C23" s="23" t="s">
        <v>84</v>
      </c>
    </row>
    <row r="26" customFormat="false" ht="15" hidden="false" customHeight="false" outlineLevel="0" collapsed="false">
      <c r="A26" s="9" t="s">
        <v>85</v>
      </c>
      <c r="B26" s="9"/>
      <c r="C26" s="9"/>
    </row>
  </sheetData>
  <mergeCells count="1">
    <mergeCell ref="A26:C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90"/>
    <col collapsed="false" customWidth="true" hidden="false" outlineLevel="0" max="3" min="3" style="0" width="13"/>
    <col collapsed="false" customWidth="true" hidden="false" outlineLevel="0" max="4" min="4" style="0" width="18"/>
  </cols>
  <sheetData>
    <row r="1" customFormat="false" ht="19.7" hidden="false" customHeight="false" outlineLevel="0" collapsed="false">
      <c r="A1" s="1" t="s">
        <v>86</v>
      </c>
    </row>
    <row r="2" customFormat="false" ht="15" hidden="false" customHeight="false" outlineLevel="0" collapsed="false">
      <c r="A2" s="2" t="s">
        <v>87</v>
      </c>
    </row>
    <row r="4" customFormat="false" ht="15" hidden="false" customHeight="false" outlineLevel="0" collapsed="false">
      <c r="A4" s="3" t="s">
        <v>88</v>
      </c>
      <c r="B4" s="3" t="s">
        <v>89</v>
      </c>
      <c r="C4" s="3" t="s">
        <v>20</v>
      </c>
      <c r="D4" s="3" t="s">
        <v>21</v>
      </c>
    </row>
    <row r="5" customFormat="false" ht="15" hidden="false" customHeight="false" outlineLevel="0" collapsed="false">
      <c r="A5" s="23" t="s">
        <v>90</v>
      </c>
      <c r="B5" s="23" t="s">
        <v>91</v>
      </c>
      <c r="C5" s="23" t="s">
        <v>29</v>
      </c>
      <c r="D5" s="23" t="s">
        <v>92</v>
      </c>
    </row>
    <row r="6" customFormat="false" ht="15" hidden="false" customHeight="false" outlineLevel="0" collapsed="false">
      <c r="A6" s="23" t="s">
        <v>93</v>
      </c>
      <c r="B6" s="23" t="s">
        <v>94</v>
      </c>
      <c r="C6" s="23" t="s">
        <v>23</v>
      </c>
      <c r="D6" s="23" t="s">
        <v>95</v>
      </c>
    </row>
    <row r="7" customFormat="false" ht="15" hidden="false" customHeight="false" outlineLevel="0" collapsed="false">
      <c r="A7" s="23" t="s">
        <v>96</v>
      </c>
      <c r="B7" s="23" t="s">
        <v>97</v>
      </c>
      <c r="C7" s="23" t="s">
        <v>23</v>
      </c>
      <c r="D7" s="23" t="s">
        <v>98</v>
      </c>
    </row>
    <row r="8" customFormat="false" ht="23.85" hidden="false" customHeight="false" outlineLevel="0" collapsed="false">
      <c r="A8" s="23" t="s">
        <v>99</v>
      </c>
      <c r="B8" s="23" t="s">
        <v>100</v>
      </c>
      <c r="C8" s="23" t="s">
        <v>29</v>
      </c>
      <c r="D8" s="23" t="s">
        <v>101</v>
      </c>
    </row>
    <row r="9" customFormat="false" ht="35.05" hidden="false" customHeight="false" outlineLevel="0" collapsed="false">
      <c r="A9" s="23" t="s">
        <v>102</v>
      </c>
      <c r="B9" s="23" t="s">
        <v>103</v>
      </c>
      <c r="C9" s="23" t="s">
        <v>29</v>
      </c>
      <c r="D9" s="23" t="s">
        <v>104</v>
      </c>
    </row>
    <row r="10" customFormat="false" ht="15" hidden="false" customHeight="false" outlineLevel="0" collapsed="false">
      <c r="A10" s="23" t="s">
        <v>105</v>
      </c>
      <c r="B10" s="23" t="s">
        <v>106</v>
      </c>
      <c r="C10" s="23" t="s">
        <v>29</v>
      </c>
      <c r="D10" s="23" t="s">
        <v>107</v>
      </c>
    </row>
    <row r="11" customFormat="false" ht="15" hidden="false" customHeight="false" outlineLevel="0" collapsed="false">
      <c r="A11" s="23" t="s">
        <v>108</v>
      </c>
      <c r="B11" s="23" t="s">
        <v>109</v>
      </c>
      <c r="C11" s="23" t="s">
        <v>29</v>
      </c>
      <c r="D11" s="23" t="s">
        <v>110</v>
      </c>
    </row>
    <row r="12" customFormat="false" ht="23.85" hidden="false" customHeight="false" outlineLevel="0" collapsed="false">
      <c r="A12" s="23" t="s">
        <v>111</v>
      </c>
      <c r="B12" s="23" t="s">
        <v>112</v>
      </c>
      <c r="C12" s="23" t="s">
        <v>29</v>
      </c>
      <c r="D12" s="2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2"/>
    <col collapsed="false" customWidth="true" hidden="false" outlineLevel="0" max="4" min="2" style="0" width="16"/>
  </cols>
  <sheetData>
    <row r="1" customFormat="false" ht="19.7" hidden="false" customHeight="false" outlineLevel="0" collapsed="false">
      <c r="A1" s="1" t="s">
        <v>113</v>
      </c>
    </row>
    <row r="2" customFormat="false" ht="15" hidden="false" customHeight="false" outlineLevel="0" collapsed="false">
      <c r="A2" s="2" t="s">
        <v>114</v>
      </c>
    </row>
    <row r="5" customFormat="false" ht="15" hidden="false" customHeight="false" outlineLevel="0" collapsed="false">
      <c r="A5" s="4" t="s">
        <v>115</v>
      </c>
      <c r="B5" s="24" t="n">
        <v>1</v>
      </c>
    </row>
    <row r="6" customFormat="false" ht="15" hidden="false" customHeight="false" outlineLevel="0" collapsed="false">
      <c r="A6" s="4" t="s">
        <v>116</v>
      </c>
      <c r="B6" s="17" t="n">
        <v>15</v>
      </c>
    </row>
    <row r="7" customFormat="false" ht="15" hidden="false" customHeight="false" outlineLevel="0" collapsed="false">
      <c r="A7" s="4" t="s">
        <v>117</v>
      </c>
      <c r="B7" s="16" t="n">
        <v>3.8</v>
      </c>
    </row>
    <row r="8" customFormat="false" ht="15" hidden="false" customHeight="false" outlineLevel="0" collapsed="false">
      <c r="A8" s="4" t="s">
        <v>118</v>
      </c>
      <c r="B8" s="17" t="n">
        <v>0.35</v>
      </c>
    </row>
    <row r="9" customFormat="false" ht="15" hidden="false" customHeight="false" outlineLevel="0" collapsed="false">
      <c r="A9" s="4" t="s">
        <v>119</v>
      </c>
      <c r="B9" s="14" t="n">
        <v>0.05</v>
      </c>
    </row>
    <row r="10" customFormat="false" ht="15" hidden="false" customHeight="false" outlineLevel="0" collapsed="false">
      <c r="A10" s="4" t="s">
        <v>120</v>
      </c>
      <c r="B10" s="14" t="n">
        <v>0.05</v>
      </c>
    </row>
    <row r="11" customFormat="false" ht="15" hidden="false" customHeight="false" outlineLevel="0" collapsed="false">
      <c r="A11" s="4" t="s">
        <v>121</v>
      </c>
      <c r="B11" s="19" t="n">
        <v>4</v>
      </c>
    </row>
    <row r="13" customFormat="false" ht="15" hidden="false" customHeight="false" outlineLevel="0" collapsed="false">
      <c r="A13" s="21" t="s">
        <v>122</v>
      </c>
      <c r="B13" s="22"/>
      <c r="C13" s="22"/>
      <c r="D13" s="22"/>
      <c r="E13" s="22"/>
      <c r="F13" s="22"/>
    </row>
    <row r="14" customFormat="false" ht="15" hidden="false" customHeight="false" outlineLevel="0" collapsed="false">
      <c r="A14" s="4" t="s">
        <v>123</v>
      </c>
      <c r="B14" s="25" t="n">
        <f aca="false">B6*Supuestos!$B$6/(1+Supuestos!$B$6)</f>
        <v>2.60330578512397</v>
      </c>
    </row>
    <row r="15" customFormat="false" ht="15" hidden="false" customHeight="false" outlineLevel="0" collapsed="false">
      <c r="A15" s="4" t="s">
        <v>124</v>
      </c>
      <c r="B15" s="25" t="n">
        <f aca="false">MAX(Supuestos!$B$7*B6,Supuestos!$B$8/1000)</f>
        <v>2.37</v>
      </c>
    </row>
    <row r="16" customFormat="false" ht="15" hidden="false" customHeight="false" outlineLevel="0" collapsed="false">
      <c r="A16" s="4" t="s">
        <v>28</v>
      </c>
      <c r="B16" s="25" t="n">
        <f aca="false">B6*Supuestos!$B$9</f>
        <v>1.35</v>
      </c>
    </row>
    <row r="17" customFormat="false" ht="15" hidden="false" customHeight="false" outlineLevel="0" collapsed="false">
      <c r="A17" s="4" t="s">
        <v>125</v>
      </c>
      <c r="B17" s="25" t="n">
        <f aca="false">B6*B9</f>
        <v>0.75</v>
      </c>
    </row>
    <row r="18" customFormat="false" ht="15" hidden="false" customHeight="false" outlineLevel="0" collapsed="false">
      <c r="A18" s="4" t="s">
        <v>126</v>
      </c>
      <c r="B18" s="25" t="n">
        <f aca="false">B6-B14-B16-B17</f>
        <v>10.296694214876</v>
      </c>
    </row>
    <row r="19" customFormat="false" ht="15" hidden="false" customHeight="false" outlineLevel="0" collapsed="false">
      <c r="A19" s="4" t="s">
        <v>127</v>
      </c>
      <c r="B19" s="25" t="n">
        <f aca="false">B7/Supuestos!$B$12+B8</f>
        <v>3.65434782608696</v>
      </c>
    </row>
    <row r="20" customFormat="false" ht="15" hidden="false" customHeight="false" outlineLevel="0" collapsed="false">
      <c r="A20" s="4" t="s">
        <v>128</v>
      </c>
      <c r="B20" s="25" t="n">
        <f aca="false">B19*IF(B5=1,Supuestos!$B$11,Supuestos!$B$10)</f>
        <v>0</v>
      </c>
    </row>
    <row r="21" customFormat="false" ht="15" hidden="false" customHeight="false" outlineLevel="0" collapsed="false">
      <c r="A21" s="4" t="s">
        <v>129</v>
      </c>
      <c r="B21" s="25" t="n">
        <f aca="false">B19+B20+Supuestos!$B$13</f>
        <v>3.68434782608696</v>
      </c>
    </row>
    <row r="22" customFormat="false" ht="15" hidden="false" customHeight="false" outlineLevel="0" collapsed="false">
      <c r="A22" s="4" t="s">
        <v>130</v>
      </c>
      <c r="B22" s="7" t="n">
        <f aca="false">B18-(1+B10)*(B15+B21)</f>
        <v>3.93962899748473</v>
      </c>
    </row>
    <row r="23" customFormat="false" ht="15" hidden="false" customHeight="false" outlineLevel="0" collapsed="false">
      <c r="A23" s="4" t="s">
        <v>131</v>
      </c>
      <c r="B23" s="5" t="n">
        <f aca="false">B22/B6</f>
        <v>0.262641933165649</v>
      </c>
    </row>
    <row r="25" customFormat="false" ht="15" hidden="false" customHeight="false" outlineLevel="0" collapsed="false">
      <c r="A25" s="21" t="s">
        <v>132</v>
      </c>
      <c r="B25" s="22"/>
      <c r="C25" s="22"/>
      <c r="D25" s="22"/>
      <c r="E25" s="22"/>
      <c r="F25" s="22"/>
      <c r="G25" s="22"/>
      <c r="H25" s="22"/>
    </row>
    <row r="26" customFormat="false" ht="15" hidden="false" customHeight="false" outlineLevel="0" collapsed="false">
      <c r="A26" s="3" t="s">
        <v>133</v>
      </c>
      <c r="B26" s="3" t="s">
        <v>134</v>
      </c>
      <c r="C26" s="3" t="s">
        <v>135</v>
      </c>
      <c r="D26" s="3" t="s">
        <v>136</v>
      </c>
    </row>
    <row r="27" customFormat="false" ht="15" hidden="false" customHeight="false" outlineLevel="0" collapsed="false">
      <c r="A27" s="4" t="s">
        <v>137</v>
      </c>
      <c r="B27" s="19" t="n">
        <v>2000</v>
      </c>
      <c r="C27" s="19" t="n">
        <v>6000</v>
      </c>
      <c r="D27" s="19" t="n">
        <v>15000</v>
      </c>
    </row>
    <row r="28" customFormat="false" ht="15" hidden="false" customHeight="false" outlineLevel="0" collapsed="false">
      <c r="A28" s="4" t="s">
        <v>138</v>
      </c>
      <c r="B28" s="19" t="n">
        <v>6</v>
      </c>
      <c r="C28" s="19" t="n">
        <v>9</v>
      </c>
      <c r="D28" s="19" t="n">
        <v>12</v>
      </c>
    </row>
    <row r="29" customFormat="false" ht="15" hidden="false" customHeight="false" outlineLevel="0" collapsed="false">
      <c r="A29" s="4" t="s">
        <v>139</v>
      </c>
      <c r="B29" s="20" t="n">
        <f aca="false">B27*($B$21+$B$15)*(1+Supuestos!$B$6)+Supuestos!$B$14</f>
        <v>15101.5217391304</v>
      </c>
      <c r="C29" s="20" t="n">
        <f aca="false">C27*($B$21+$B$15)*(1+Supuestos!$B$6)+Supuestos!$B$14</f>
        <v>44404.5652173913</v>
      </c>
      <c r="D29" s="20" t="n">
        <f aca="false">D27*($B$21+$B$15)*(1+Supuestos!$B$6)+Supuestos!$B$14</f>
        <v>110336.413043478</v>
      </c>
    </row>
    <row r="30" customFormat="false" ht="15" hidden="false" customHeight="false" outlineLevel="0" collapsed="false">
      <c r="A30" s="4" t="s">
        <v>140</v>
      </c>
      <c r="B30" s="20" t="n">
        <f aca="false">B27*$B$22</f>
        <v>7879.25799496946</v>
      </c>
      <c r="C30" s="20" t="n">
        <f aca="false">C27*$B$22</f>
        <v>23637.7739849084</v>
      </c>
      <c r="D30" s="20" t="n">
        <f aca="false">D27*$B$22</f>
        <v>59094.4349622709</v>
      </c>
    </row>
    <row r="31" customFormat="false" ht="15" hidden="false" customHeight="false" outlineLevel="0" collapsed="false">
      <c r="A31" s="4" t="s">
        <v>141</v>
      </c>
      <c r="B31" s="20" t="n">
        <f aca="false">Supuestos!$B$14+Supuestos!$B$15</f>
        <v>1050</v>
      </c>
      <c r="C31" s="20" t="n">
        <f aca="false">Supuestos!$B$14+Supuestos!$B$15</f>
        <v>1050</v>
      </c>
      <c r="D31" s="20" t="n">
        <f aca="false">Supuestos!$B$14+Supuestos!$B$15</f>
        <v>1050</v>
      </c>
    </row>
    <row r="32" customFormat="false" ht="15" hidden="false" customHeight="false" outlineLevel="0" collapsed="false">
      <c r="A32" s="4" t="s">
        <v>142</v>
      </c>
      <c r="B32" s="20" t="n">
        <f aca="false">B29/2*Supuestos!$B$17*B28/12</f>
        <v>302.030434782609</v>
      </c>
      <c r="C32" s="20" t="n">
        <f aca="false">C29/2*Supuestos!$B$17*C28/12</f>
        <v>1332.13695652174</v>
      </c>
      <c r="D32" s="20" t="n">
        <f aca="false">D29/2*Supuestos!$B$17*D28/12</f>
        <v>4413.45652173913</v>
      </c>
    </row>
    <row r="33" customFormat="false" ht="15" hidden="false" customHeight="false" outlineLevel="0" collapsed="false">
      <c r="A33" s="4" t="s">
        <v>143</v>
      </c>
      <c r="B33" s="6" t="n">
        <f aca="false">B30-B31-B32</f>
        <v>6527.22756018685</v>
      </c>
      <c r="C33" s="6" t="n">
        <f aca="false">C30-C31-C32</f>
        <v>21255.6370283866</v>
      </c>
      <c r="D33" s="6" t="n">
        <f aca="false">D30-D31-D32</f>
        <v>53630.9784405318</v>
      </c>
    </row>
    <row r="34" customFormat="false" ht="15" hidden="false" customHeight="false" outlineLevel="0" collapsed="false">
      <c r="A34" s="4" t="s">
        <v>144</v>
      </c>
      <c r="B34" s="5" t="n">
        <f aca="false">IFERROR(B33/B29,0)</f>
        <v>0.432223167501972</v>
      </c>
      <c r="C34" s="5" t="n">
        <f aca="false">IFERROR(C33/C29,0)</f>
        <v>0.4786813455852</v>
      </c>
      <c r="D34" s="5" t="n">
        <f aca="false">IFERROR(D33/D29,0)</f>
        <v>0.486067808089777</v>
      </c>
    </row>
    <row r="35" customFormat="false" ht="15" hidden="false" customHeight="false" outlineLevel="0" collapsed="false">
      <c r="A35" s="4" t="s">
        <v>145</v>
      </c>
      <c r="B35" s="26" t="n">
        <f aca="false">12/B28</f>
        <v>2</v>
      </c>
      <c r="C35" s="26" t="n">
        <f aca="false">12/C28</f>
        <v>1.33333333333333</v>
      </c>
      <c r="D35" s="26" t="n">
        <f aca="false">12/D28</f>
        <v>1</v>
      </c>
    </row>
    <row r="36" customFormat="false" ht="15" hidden="false" customHeight="false" outlineLevel="0" collapsed="false">
      <c r="A36" s="4" t="s">
        <v>146</v>
      </c>
      <c r="B36" s="6" t="n">
        <f aca="false">B33*B35</f>
        <v>13054.4551203737</v>
      </c>
      <c r="C36" s="6" t="n">
        <f aca="false">C33*C35</f>
        <v>28340.8493711822</v>
      </c>
      <c r="D36" s="6" t="n">
        <f aca="false">D33*D35</f>
        <v>53630.9784405318</v>
      </c>
    </row>
    <row r="37" customFormat="false" ht="15" hidden="false" customHeight="false" outlineLevel="0" collapsed="false">
      <c r="A37" s="4" t="s">
        <v>147</v>
      </c>
      <c r="B37" s="20" t="n">
        <f aca="false">Supuestos!$B$16</f>
        <v>18000</v>
      </c>
      <c r="C37" s="20" t="n">
        <f aca="false">Supuestos!$B$16</f>
        <v>18000</v>
      </c>
      <c r="D37" s="20" t="n">
        <f aca="false">Supuestos!$B$16</f>
        <v>18000</v>
      </c>
    </row>
    <row r="38" customFormat="false" ht="15" hidden="false" customHeight="false" outlineLevel="0" collapsed="false">
      <c r="A38" s="4" t="s">
        <v>148</v>
      </c>
      <c r="B38" s="26" t="n">
        <f aca="false">IFERROR(B37/B36,"n/a")</f>
        <v>1.37883962478893</v>
      </c>
      <c r="C38" s="26" t="n">
        <f aca="false">IFERROR(C37/C36,"n/a")</f>
        <v>0.635125636647395</v>
      </c>
      <c r="D38" s="26" t="n">
        <f aca="false">IFERROR(D37/D36,"n/a")</f>
        <v>0.335626917938093</v>
      </c>
    </row>
    <row r="39" customFormat="false" ht="15" hidden="false" customHeight="false" outlineLevel="0" collapsed="false">
      <c r="A39" s="4" t="s">
        <v>149</v>
      </c>
      <c r="B39" s="8" t="n">
        <f aca="false">IFERROR((B37+Supuestos!$B$14*B35)/$B$22,"n/a")</f>
        <v>4797.40605322653</v>
      </c>
      <c r="C39" s="8" t="n">
        <f aca="false">IFERROR((C37+Supuestos!$B$14*C35)/$B$22,"n/a")</f>
        <v>4721.25675079436</v>
      </c>
      <c r="D39" s="8" t="n">
        <f aca="false">IFERROR((D37+Supuestos!$B$14*D35)/$B$22,"n/a")</f>
        <v>4683.18209957828</v>
      </c>
    </row>
    <row r="40" customFormat="false" ht="15" hidden="false" customHeight="false" outlineLevel="0" collapsed="false">
      <c r="A40" s="4" t="s">
        <v>150</v>
      </c>
      <c r="B40" s="7" t="n">
        <f aca="false">$B$22*20</f>
        <v>78.7925799496946</v>
      </c>
      <c r="C40" s="7" t="n">
        <f aca="false">$B$22*20</f>
        <v>78.7925799496946</v>
      </c>
      <c r="D40" s="7" t="n">
        <f aca="false">$B$22*20</f>
        <v>78.7925799496946</v>
      </c>
    </row>
    <row r="41" customFormat="false" ht="15" hidden="false" customHeight="false" outlineLevel="0" collapsed="false">
      <c r="A41" s="15" t="s">
        <v>151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2"/>
    <col collapsed="false" customWidth="true" hidden="false" outlineLevel="0" max="2" min="2" style="0" width="16"/>
  </cols>
  <sheetData>
    <row r="1" customFormat="false" ht="19.7" hidden="false" customHeight="false" outlineLevel="0" collapsed="false">
      <c r="A1" s="1" t="s">
        <v>152</v>
      </c>
    </row>
    <row r="2" customFormat="false" ht="15" hidden="false" customHeight="false" outlineLevel="0" collapsed="false">
      <c r="A2" s="2" t="s">
        <v>153</v>
      </c>
    </row>
    <row r="4" customFormat="false" ht="15" hidden="false" customHeight="false" outlineLevel="0" collapsed="false">
      <c r="A4" s="4" t="s">
        <v>154</v>
      </c>
      <c r="B4" s="18" t="n">
        <v>400000</v>
      </c>
    </row>
    <row r="5" customFormat="false" ht="15" hidden="false" customHeight="false" outlineLevel="0" collapsed="false">
      <c r="A5" s="4" t="s">
        <v>155</v>
      </c>
      <c r="B5" s="27" t="n">
        <f aca="false">Supuestos!$B$9</f>
        <v>0.09</v>
      </c>
    </row>
    <row r="6" customFormat="false" ht="15" hidden="false" customHeight="false" outlineLevel="0" collapsed="false">
      <c r="A6" s="4" t="s">
        <v>156</v>
      </c>
      <c r="B6" s="6" t="n">
        <f aca="false">B4*B5</f>
        <v>36000</v>
      </c>
    </row>
    <row r="7" customFormat="false" ht="15" hidden="false" customHeight="false" outlineLevel="0" collapsed="false">
      <c r="A7" s="4" t="s">
        <v>157</v>
      </c>
      <c r="B7" s="18" t="n">
        <v>30000</v>
      </c>
    </row>
    <row r="8" customFormat="false" ht="15" hidden="false" customHeight="false" outlineLevel="0" collapsed="false">
      <c r="A8" s="4" t="s">
        <v>158</v>
      </c>
      <c r="B8" s="18" t="n">
        <v>70000</v>
      </c>
    </row>
    <row r="9" customFormat="false" ht="15" hidden="false" customHeight="false" outlineLevel="0" collapsed="false">
      <c r="A9" s="4" t="s">
        <v>159</v>
      </c>
      <c r="B9" s="6" t="n">
        <f aca="false">B6+B7-B8</f>
        <v>-4000</v>
      </c>
    </row>
    <row r="10" customFormat="false" ht="15" hidden="false" customHeight="false" outlineLevel="0" collapsed="false">
      <c r="A10" s="4" t="s">
        <v>160</v>
      </c>
      <c r="B10" s="18" t="n">
        <v>250000</v>
      </c>
    </row>
    <row r="11" customFormat="false" ht="15" hidden="false" customHeight="false" outlineLevel="0" collapsed="false">
      <c r="A11" s="4" t="s">
        <v>161</v>
      </c>
      <c r="B11" s="5" t="n">
        <f aca="false">IFERROR(B9/B10,0)</f>
        <v>-0.016</v>
      </c>
    </row>
    <row r="13" customFormat="false" ht="15" hidden="false" customHeight="false" outlineLevel="0" collapsed="false">
      <c r="A13" s="15" t="s">
        <v>162</v>
      </c>
    </row>
    <row r="14" customFormat="false" ht="15" hidden="false" customHeight="false" outlineLevel="0" collapsed="false">
      <c r="A14" s="9" t="s">
        <v>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70"/>
    <col collapsed="false" customWidth="true" hidden="false" outlineLevel="0" max="6" min="6" style="0" width="30"/>
  </cols>
  <sheetData>
    <row r="1" customFormat="false" ht="19.7" hidden="false" customHeight="false" outlineLevel="0" collapsed="false">
      <c r="A1" s="1" t="s">
        <v>164</v>
      </c>
    </row>
    <row r="4" customFormat="false" ht="15" hidden="false" customHeight="false" outlineLevel="0" collapsed="false">
      <c r="A4" s="3" t="s">
        <v>165</v>
      </c>
      <c r="B4" s="3" t="s">
        <v>166</v>
      </c>
      <c r="C4" s="3" t="s">
        <v>167</v>
      </c>
      <c r="D4" s="3" t="s">
        <v>168</v>
      </c>
      <c r="E4" s="3" t="s">
        <v>169</v>
      </c>
      <c r="F4" s="3" t="s">
        <v>170</v>
      </c>
    </row>
    <row r="5" customFormat="false" ht="15" hidden="false" customHeight="false" outlineLevel="0" collapsed="false">
      <c r="A5" s="23" t="s">
        <v>171</v>
      </c>
      <c r="B5" s="23" t="s">
        <v>172</v>
      </c>
      <c r="C5" s="23" t="s">
        <v>173</v>
      </c>
      <c r="D5" s="23" t="s">
        <v>173</v>
      </c>
      <c r="E5" s="23" t="s">
        <v>174</v>
      </c>
      <c r="F5" s="23" t="s">
        <v>175</v>
      </c>
    </row>
    <row r="6" customFormat="false" ht="23.85" hidden="false" customHeight="false" outlineLevel="0" collapsed="false">
      <c r="A6" s="23" t="s">
        <v>176</v>
      </c>
      <c r="B6" s="23" t="s">
        <v>177</v>
      </c>
      <c r="C6" s="23" t="s">
        <v>178</v>
      </c>
      <c r="D6" s="23" t="s">
        <v>179</v>
      </c>
      <c r="E6" s="23" t="s">
        <v>180</v>
      </c>
      <c r="F6" s="23" t="s">
        <v>181</v>
      </c>
    </row>
    <row r="7" customFormat="false" ht="23.85" hidden="false" customHeight="false" outlineLevel="0" collapsed="false">
      <c r="A7" s="23" t="s">
        <v>182</v>
      </c>
      <c r="B7" s="23" t="s">
        <v>183</v>
      </c>
      <c r="C7" s="23" t="s">
        <v>184</v>
      </c>
      <c r="D7" s="23" t="s">
        <v>185</v>
      </c>
      <c r="E7" s="23" t="s">
        <v>186</v>
      </c>
      <c r="F7" s="23" t="s">
        <v>187</v>
      </c>
    </row>
    <row r="8" customFormat="false" ht="15" hidden="false" customHeight="false" outlineLevel="0" collapsed="false">
      <c r="A8" s="23" t="s">
        <v>188</v>
      </c>
      <c r="B8" s="23" t="s">
        <v>189</v>
      </c>
      <c r="C8" s="23" t="s">
        <v>190</v>
      </c>
      <c r="D8" s="23" t="s">
        <v>191</v>
      </c>
      <c r="E8" s="23" t="s">
        <v>192</v>
      </c>
      <c r="F8" s="23" t="s">
        <v>193</v>
      </c>
    </row>
    <row r="9" customFormat="false" ht="15" hidden="false" customHeight="false" outlineLevel="0" collapsed="false">
      <c r="A9" s="23" t="s">
        <v>194</v>
      </c>
      <c r="B9" s="23" t="s">
        <v>195</v>
      </c>
      <c r="C9" s="23" t="s">
        <v>173</v>
      </c>
      <c r="D9" s="23" t="s">
        <v>173</v>
      </c>
      <c r="E9" s="23" t="s">
        <v>196</v>
      </c>
      <c r="F9" s="23" t="s">
        <v>197</v>
      </c>
    </row>
    <row r="11" customFormat="false" ht="15" hidden="false" customHeight="false" outlineLevel="0" collapsed="false">
      <c r="A11" s="4" t="s">
        <v>198</v>
      </c>
      <c r="B11" s="7" t="n">
        <f aca="false">'B3 Importador no cubano'!B22</f>
        <v>3.93962899748473</v>
      </c>
    </row>
    <row r="12" customFormat="false" ht="15" hidden="false" customHeight="false" outlineLevel="0" collapsed="false">
      <c r="A12" s="4" t="s">
        <v>199</v>
      </c>
      <c r="B12" s="8" t="n">
        <f aca="false">'B3 Importador no cubano'!C39</f>
        <v>4721.25675079436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50"/>
    <col collapsed="false" customWidth="true" hidden="false" outlineLevel="0" max="3" min="3" style="0" width="70"/>
    <col collapsed="false" customWidth="true" hidden="false" outlineLevel="0" max="4" min="4" style="0" width="22"/>
    <col collapsed="false" customWidth="true" hidden="false" outlineLevel="0" max="5" min="5" style="0" width="60"/>
  </cols>
  <sheetData>
    <row r="1" customFormat="false" ht="19.7" hidden="false" customHeight="false" outlineLevel="0" collapsed="false">
      <c r="A1" s="1" t="s">
        <v>200</v>
      </c>
    </row>
    <row r="3" customFormat="false" ht="15" hidden="false" customHeight="false" outlineLevel="0" collapsed="false">
      <c r="A3" s="3" t="s">
        <v>201</v>
      </c>
      <c r="B3" s="3" t="s">
        <v>21</v>
      </c>
      <c r="C3" s="3" t="s">
        <v>202</v>
      </c>
      <c r="D3" s="3" t="s">
        <v>20</v>
      </c>
      <c r="E3" s="3" t="s">
        <v>203</v>
      </c>
    </row>
    <row r="4" customFormat="false" ht="23.85" hidden="false" customHeight="false" outlineLevel="0" collapsed="false">
      <c r="A4" s="23" t="s">
        <v>204</v>
      </c>
      <c r="B4" s="23" t="s">
        <v>205</v>
      </c>
      <c r="C4" s="23" t="s">
        <v>206</v>
      </c>
      <c r="D4" s="23" t="s">
        <v>207</v>
      </c>
      <c r="E4" s="23" t="s">
        <v>208</v>
      </c>
    </row>
    <row r="5" customFormat="false" ht="23.85" hidden="false" customHeight="false" outlineLevel="0" collapsed="false">
      <c r="A5" s="23" t="s">
        <v>107</v>
      </c>
      <c r="B5" s="23" t="s">
        <v>209</v>
      </c>
      <c r="C5" s="23" t="s">
        <v>210</v>
      </c>
      <c r="D5" s="23" t="s">
        <v>29</v>
      </c>
      <c r="E5" s="23" t="s">
        <v>211</v>
      </c>
    </row>
    <row r="6" customFormat="false" ht="23.85" hidden="false" customHeight="false" outlineLevel="0" collapsed="false">
      <c r="A6" s="23" t="s">
        <v>212</v>
      </c>
      <c r="B6" s="23" t="s">
        <v>213</v>
      </c>
      <c r="C6" s="23" t="s">
        <v>214</v>
      </c>
      <c r="D6" s="23" t="s">
        <v>29</v>
      </c>
      <c r="E6" s="23" t="s">
        <v>215</v>
      </c>
    </row>
    <row r="7" customFormat="false" ht="35.05" hidden="false" customHeight="false" outlineLevel="0" collapsed="false">
      <c r="A7" s="23" t="s">
        <v>26</v>
      </c>
      <c r="B7" s="23" t="s">
        <v>216</v>
      </c>
      <c r="C7" s="23" t="s">
        <v>217</v>
      </c>
      <c r="D7" s="23" t="s">
        <v>23</v>
      </c>
      <c r="E7" s="23" t="s">
        <v>218</v>
      </c>
    </row>
    <row r="8" customFormat="false" ht="23.85" hidden="false" customHeight="false" outlineLevel="0" collapsed="false">
      <c r="A8" s="23" t="s">
        <v>30</v>
      </c>
      <c r="B8" s="23" t="s">
        <v>219</v>
      </c>
      <c r="C8" s="23" t="s">
        <v>220</v>
      </c>
      <c r="D8" s="23" t="s">
        <v>29</v>
      </c>
      <c r="E8" s="23" t="s">
        <v>221</v>
      </c>
    </row>
    <row r="9" customFormat="false" ht="23.85" hidden="false" customHeight="false" outlineLevel="0" collapsed="false">
      <c r="A9" s="23" t="s">
        <v>222</v>
      </c>
      <c r="B9" s="23" t="s">
        <v>223</v>
      </c>
      <c r="C9" s="23" t="s">
        <v>224</v>
      </c>
      <c r="D9" s="23" t="s">
        <v>23</v>
      </c>
      <c r="E9" s="23" t="s">
        <v>225</v>
      </c>
    </row>
    <row r="10" customFormat="false" ht="23.85" hidden="false" customHeight="false" outlineLevel="0" collapsed="false">
      <c r="A10" s="23" t="s">
        <v>226</v>
      </c>
      <c r="B10" s="23" t="s">
        <v>227</v>
      </c>
      <c r="C10" s="23" t="s">
        <v>228</v>
      </c>
      <c r="D10" s="23" t="s">
        <v>23</v>
      </c>
      <c r="E10" s="23" t="s">
        <v>229</v>
      </c>
    </row>
    <row r="11" customFormat="false" ht="23.85" hidden="false" customHeight="false" outlineLevel="0" collapsed="false">
      <c r="A11" s="23" t="s">
        <v>230</v>
      </c>
      <c r="B11" s="23" t="s">
        <v>231</v>
      </c>
      <c r="C11" s="23" t="s">
        <v>232</v>
      </c>
      <c r="D11" s="23" t="s">
        <v>23</v>
      </c>
      <c r="E11" s="23" t="s">
        <v>233</v>
      </c>
    </row>
    <row r="12" customFormat="false" ht="23.85" hidden="false" customHeight="false" outlineLevel="0" collapsed="false">
      <c r="A12" s="23" t="s">
        <v>234</v>
      </c>
      <c r="B12" s="23" t="s">
        <v>235</v>
      </c>
      <c r="C12" s="23" t="s">
        <v>236</v>
      </c>
      <c r="D12" s="23" t="s">
        <v>237</v>
      </c>
      <c r="E12" s="23" t="s">
        <v>238</v>
      </c>
    </row>
    <row r="13" customFormat="false" ht="23.85" hidden="false" customHeight="false" outlineLevel="0" collapsed="false">
      <c r="A13" s="23" t="s">
        <v>239</v>
      </c>
      <c r="B13" s="23" t="s">
        <v>240</v>
      </c>
      <c r="C13" s="23" t="s">
        <v>241</v>
      </c>
      <c r="D13" s="23" t="s">
        <v>242</v>
      </c>
      <c r="E13" s="23" t="s">
        <v>243</v>
      </c>
    </row>
    <row r="14" customFormat="false" ht="35.05" hidden="false" customHeight="false" outlineLevel="0" collapsed="false">
      <c r="A14" s="23" t="s">
        <v>95</v>
      </c>
      <c r="B14" s="23" t="s">
        <v>244</v>
      </c>
      <c r="C14" s="23" t="s">
        <v>245</v>
      </c>
      <c r="D14" s="23" t="s">
        <v>246</v>
      </c>
      <c r="E14" s="23" t="s">
        <v>247</v>
      </c>
    </row>
    <row r="15" customFormat="false" ht="23.85" hidden="false" customHeight="false" outlineLevel="0" collapsed="false">
      <c r="A15" s="23" t="s">
        <v>248</v>
      </c>
      <c r="B15" s="23" t="s">
        <v>249</v>
      </c>
      <c r="C15" s="23" t="s">
        <v>250</v>
      </c>
      <c r="D15" s="23" t="s">
        <v>29</v>
      </c>
      <c r="E15" s="23" t="s">
        <v>251</v>
      </c>
    </row>
    <row r="16" customFormat="false" ht="23.85" hidden="false" customHeight="false" outlineLevel="0" collapsed="false">
      <c r="A16" s="23" t="s">
        <v>252</v>
      </c>
      <c r="B16" s="23" t="s">
        <v>253</v>
      </c>
      <c r="C16" s="23" t="s">
        <v>254</v>
      </c>
      <c r="D16" s="23" t="s">
        <v>23</v>
      </c>
      <c r="E16" s="23" t="s">
        <v>255</v>
      </c>
    </row>
    <row r="17" customFormat="false" ht="23.85" hidden="false" customHeight="false" outlineLevel="0" collapsed="false">
      <c r="A17" s="23" t="s">
        <v>256</v>
      </c>
      <c r="B17" s="23" t="s">
        <v>257</v>
      </c>
      <c r="C17" s="23" t="s">
        <v>258</v>
      </c>
      <c r="D17" s="23" t="s">
        <v>23</v>
      </c>
      <c r="E17" s="23" t="s">
        <v>259</v>
      </c>
    </row>
    <row r="18" customFormat="false" ht="23.85" hidden="false" customHeight="false" outlineLevel="0" collapsed="false">
      <c r="A18" s="23" t="s">
        <v>260</v>
      </c>
      <c r="B18" s="23" t="s">
        <v>261</v>
      </c>
      <c r="C18" s="23" t="s">
        <v>262</v>
      </c>
      <c r="D18" s="23" t="s">
        <v>23</v>
      </c>
      <c r="E18" s="23" t="s">
        <v>263</v>
      </c>
    </row>
    <row r="19" customFormat="false" ht="23.85" hidden="false" customHeight="false" outlineLevel="0" collapsed="false">
      <c r="A19" s="23" t="s">
        <v>264</v>
      </c>
      <c r="B19" s="23" t="s">
        <v>265</v>
      </c>
      <c r="C19" s="23" t="s">
        <v>266</v>
      </c>
      <c r="D19" s="23" t="s">
        <v>267</v>
      </c>
      <c r="E19" s="23" t="s">
        <v>268</v>
      </c>
    </row>
    <row r="20" customFormat="false" ht="23.85" hidden="false" customHeight="false" outlineLevel="0" collapsed="false">
      <c r="A20" s="23" t="s">
        <v>32</v>
      </c>
      <c r="B20" s="23" t="s">
        <v>269</v>
      </c>
      <c r="C20" s="23" t="s">
        <v>270</v>
      </c>
      <c r="D20" s="23" t="s">
        <v>29</v>
      </c>
      <c r="E20" s="23" t="s">
        <v>271</v>
      </c>
    </row>
    <row r="21" customFormat="false" ht="23.85" hidden="false" customHeight="false" outlineLevel="0" collapsed="false">
      <c r="A21" s="23" t="s">
        <v>272</v>
      </c>
      <c r="B21" s="23" t="s">
        <v>273</v>
      </c>
      <c r="C21" s="23" t="s">
        <v>274</v>
      </c>
      <c r="D21" s="23" t="s">
        <v>275</v>
      </c>
      <c r="E21" s="23" t="s">
        <v>276</v>
      </c>
    </row>
    <row r="22" customFormat="false" ht="23.85" hidden="false" customHeight="false" outlineLevel="0" collapsed="false">
      <c r="A22" s="23" t="s">
        <v>277</v>
      </c>
      <c r="B22" s="23" t="s">
        <v>278</v>
      </c>
      <c r="C22" s="23" t="s">
        <v>279</v>
      </c>
      <c r="D22" s="23" t="s">
        <v>23</v>
      </c>
      <c r="E22" s="23" t="s">
        <v>280</v>
      </c>
    </row>
    <row r="23" customFormat="false" ht="23.85" hidden="false" customHeight="false" outlineLevel="0" collapsed="false">
      <c r="A23" s="23" t="s">
        <v>281</v>
      </c>
      <c r="B23" s="23" t="s">
        <v>282</v>
      </c>
      <c r="C23" s="23" t="s">
        <v>283</v>
      </c>
      <c r="D23" s="23" t="s">
        <v>23</v>
      </c>
      <c r="E23" s="23" t="s">
        <v>284</v>
      </c>
    </row>
    <row r="24" customFormat="false" ht="23.85" hidden="false" customHeight="false" outlineLevel="0" collapsed="false">
      <c r="A24" s="23" t="s">
        <v>50</v>
      </c>
      <c r="B24" s="23" t="s">
        <v>285</v>
      </c>
      <c r="C24" s="23" t="s">
        <v>286</v>
      </c>
      <c r="D24" s="23" t="s">
        <v>29</v>
      </c>
      <c r="E24" s="23" t="s">
        <v>287</v>
      </c>
    </row>
    <row r="25" customFormat="false" ht="23.85" hidden="false" customHeight="false" outlineLevel="0" collapsed="false">
      <c r="A25" s="23" t="s">
        <v>101</v>
      </c>
      <c r="B25" s="23" t="s">
        <v>288</v>
      </c>
      <c r="C25" s="23" t="s">
        <v>289</v>
      </c>
      <c r="D25" s="23" t="s">
        <v>29</v>
      </c>
      <c r="E25" s="23" t="s">
        <v>290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2026-10-10T19:38:29Z</dcterms:created>
  <dc:creator>openpyxl</dc:creator>
  <dc:description/>
  <dc:language>en-US</dc:language>
  <cp:lastModifiedBy/>
  <dcterms:modified xsi:type="dcterms:W3CDTF">2026-10-10T19:38:29Z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