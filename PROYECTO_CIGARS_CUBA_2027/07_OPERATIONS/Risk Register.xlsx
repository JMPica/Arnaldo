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gistro de riesgos" sheetId="1" state="visible" r:id="rId3"/>
    <sheet name="Matriz regulator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<sst xmlns="http://schemas.openxmlformats.org/spreadsheetml/2006/main" count="375" uniqueCount="284">
  <si>
    <t xml:space="preserve">Registro de riesgos — Proyectos A, B y C</t>
  </si>
  <si>
    <t xml:space="preserve">Probabilidad e impacto 1–5 (HIPÓTESIS del equipo). Puntuación = P × I. ≥15 crítico · 8–14 alto · ≤7 medio/bajo.</t>
  </si>
  <si>
    <t xml:space="preserve">ID</t>
  </si>
  <si>
    <t xml:space="preserve">Categoría</t>
  </si>
  <si>
    <t xml:space="preserve">Proyecto</t>
  </si>
  <si>
    <t xml:space="preserve">Riesgo</t>
  </si>
  <si>
    <t xml:space="preserve">Causa</t>
  </si>
  <si>
    <t xml:space="preserve">Prob. (1-5)</t>
  </si>
  <si>
    <t xml:space="preserve">Impacto (1-5)</t>
  </si>
  <si>
    <t xml:space="preserve">Puntuación</t>
  </si>
  <si>
    <t xml:space="preserve">Nivel</t>
  </si>
  <si>
    <t xml:space="preserve">Responsable</t>
  </si>
  <si>
    <t xml:space="preserve">Mitigación</t>
  </si>
  <si>
    <t xml:space="preserve">Indicador de alerta</t>
  </si>
  <si>
    <t xml:space="preserve">R01</t>
  </si>
  <si>
    <t xml:space="preserve">Jurídico Cuba</t>
  </si>
  <si>
    <t xml:space="preserve">A</t>
  </si>
  <si>
    <t xml:space="preserve">No existe vía legal para fabricar y exportar una marca de titularidad extranjera</t>
  </si>
  <si>
    <t xml:space="preserve">Monopolio de exportación de Habanos S.A.; monopsonio de hoja de Tabacuba</t>
  </si>
  <si>
    <t xml:space="preserve">Promotor + abogado cubano</t>
  </si>
  <si>
    <t xml:space="preserve">Fase 0 antes de cualquier pago; confirmación escrita</t>
  </si>
  <si>
    <t xml:space="preserve">Negativa o silencio</t>
  </si>
  <si>
    <t xml:space="preserve">R02</t>
  </si>
  <si>
    <t xml:space="preserve">La contraparte exige titularidad/cotitularidad de la marca o derechos sobre el diseño</t>
  </si>
  <si>
    <t xml:space="preserve">Práctica de registro de marcas por Cubatabaco</t>
  </si>
  <si>
    <t xml:space="preserve">Abogado</t>
  </si>
  <si>
    <t xml:space="preserve">Cláusula de titularidad no negociable; licencia con recompra como máximo</t>
  </si>
  <si>
    <t xml:space="preserve">Borrador de contrato</t>
  </si>
  <si>
    <t xml:space="preserve">R03</t>
  </si>
  <si>
    <t xml:space="preserve">La empresa mencionada por el torcedor no está autorizada para exportar tabaco torcido</t>
  </si>
  <si>
    <t xml:space="preserve">Información de segunda mano</t>
  </si>
  <si>
    <t xml:space="preserve">Abogado cubano</t>
  </si>
  <si>
    <t xml:space="preserve">Verificar licencia y objeto social en documentos oficiales</t>
  </si>
  <si>
    <t xml:space="preserve">DD documental</t>
  </si>
  <si>
    <t xml:space="preserve">R04</t>
  </si>
  <si>
    <t xml:space="preserve">Laboral/IP Cuba</t>
  </si>
  <si>
    <t xml:space="preserve">Conflicto con el empleador del torcedor por uso de recursos estatales o know-how</t>
  </si>
  <si>
    <t xml:space="preserve">Torcedor empleado por entidad estatal</t>
  </si>
  <si>
    <t xml:space="preserve">Toda colaboración vía entidad autorizada y con permiso escrito</t>
  </si>
  <si>
    <t xml:space="preserve">Cuestionario torcedor</t>
  </si>
  <si>
    <t xml:space="preserve">R05</t>
  </si>
  <si>
    <t xml:space="preserve">Uso de 'Hecho en Cuba', 'Habano' o símbolos de la DO no autorizado</t>
  </si>
  <si>
    <t xml:space="preserve">Protección de IG/DO (S13)</t>
  </si>
  <si>
    <t xml:space="preserve">Agente de marcas</t>
  </si>
  <si>
    <t xml:space="preserve">Dictamen previo; no usar 'Habano' ni sellos de Habanos</t>
  </si>
  <si>
    <t xml:space="preserve">Revisión de artes</t>
  </si>
  <si>
    <t xml:space="preserve">R06</t>
  </si>
  <si>
    <t xml:space="preserve">Financiero</t>
  </si>
  <si>
    <t xml:space="preserve">Coste FOB superior al umbral de viabilidad (≈5 USD a PVP 24 €)</t>
  </si>
  <si>
    <t xml:space="preserve">Sin cotización</t>
  </si>
  <si>
    <t xml:space="preserve">Promotor</t>
  </si>
  <si>
    <t xml:space="preserve">FOB máximo como condición C3</t>
  </si>
  <si>
    <t xml:space="preserve">Cotización</t>
  </si>
  <si>
    <t xml:space="preserve">R07</t>
  </si>
  <si>
    <t xml:space="preserve">Necesidad de financiación &gt; capital disponible (130–210 k€ en escenarios no optimistas)</t>
  </si>
  <si>
    <t xml:space="preserve">Pérdidas operativas + circulante (IEE anticipado, stock)</t>
  </si>
  <si>
    <t xml:space="preserve">No lanzar sin C8; lote piloto pequeño; depósito fiscal</t>
  </si>
  <si>
    <t xml:space="preserve">Model 'Scenarios'</t>
  </si>
  <si>
    <t xml:space="preserve">R08</t>
  </si>
  <si>
    <t xml:space="preserve">Pagos</t>
  </si>
  <si>
    <t xml:space="preserve">A/B</t>
  </si>
  <si>
    <t xml:space="preserve">Imposibilidad o retraso de pagos bancarios a Cuba</t>
  </si>
  <si>
    <t xml:space="preserve">Pocos corresponsales; restricciones (S35)</t>
  </si>
  <si>
    <t xml:space="preserve">Validar banco y carta de crédito antes del pedido</t>
  </si>
  <si>
    <t xml:space="preserve">Respuesta bancaria</t>
  </si>
  <si>
    <t xml:space="preserve">R09</t>
  </si>
  <si>
    <t xml:space="preserve">Sanciones</t>
  </si>
  <si>
    <t xml:space="preserve">Exposición a sanciones EE.UU. (OFAC) por bancos/USD o socios estadounidenses</t>
  </si>
  <si>
    <t xml:space="preserve">Embargo; Reglamento de bloqueo (N06)</t>
  </si>
  <si>
    <t xml:space="preserve">No usar USD ni bancos con nexo EE.UU.; ningún socio US person</t>
  </si>
  <si>
    <t xml:space="preserve">Dictamen</t>
  </si>
  <si>
    <t xml:space="preserve">R10</t>
  </si>
  <si>
    <t xml:space="preserve">B</t>
  </si>
  <si>
    <t xml:space="preserve">Cadena de distribución de Habanos afectada por sanciones UE (Tabacalera)</t>
  </si>
  <si>
    <t xml:space="preserve">Sanción UE a Chen Zhi (S21)</t>
  </si>
  <si>
    <t xml:space="preserve">No depender de Habanos para Proyecto B</t>
  </si>
  <si>
    <t xml:space="preserve">Prensa / DOUE</t>
  </si>
  <si>
    <t xml:space="preserve">R11</t>
  </si>
  <si>
    <t xml:space="preserve">Regulatorio UE/ES</t>
  </si>
  <si>
    <t xml:space="preserve">Retraso en EU-CEG, habilitación CMT, trazabilidad o publicación de PVP</t>
  </si>
  <si>
    <t xml:space="preserve">Procedimientos secuenciales</t>
  </si>
  <si>
    <t xml:space="preserve">Asesor regulatorio</t>
  </si>
  <si>
    <t xml:space="preserve">Plan con holguras; no fijar fecha de venta antes de BOE</t>
  </si>
  <si>
    <t xml:space="preserve">Plan 180 días</t>
  </si>
  <si>
    <t xml:space="preserve">R12</t>
  </si>
  <si>
    <t xml:space="preserve">Subida de fiscalidad del tabaco (revisión Directiva, efectos 2028+)</t>
  </si>
  <si>
    <t xml:space="preserve">Propuesta 2025 (S31)</t>
  </si>
  <si>
    <t xml:space="preserve">Sensibilidad de PVP; posicionamiento premium menos afectado por mínimos</t>
  </si>
  <si>
    <t xml:space="preserve">DOUE</t>
  </si>
  <si>
    <t xml:space="preserve">R13</t>
  </si>
  <si>
    <t xml:space="preserve">Incumplimiento de publicidad/promoción (Ley 28/2005)</t>
  </si>
  <si>
    <t xml:space="preserve">Marketing al consumidor</t>
  </si>
  <si>
    <t xml:space="preserve">Comunicación exclusivamente B2B profesional</t>
  </si>
  <si>
    <t xml:space="preserve">Revisión de materiales</t>
  </si>
  <si>
    <t xml:space="preserve">R14</t>
  </si>
  <si>
    <t xml:space="preserve">Comercial</t>
  </si>
  <si>
    <t xml:space="preserve">Expendedurías no aceptan una marca nueva cubana no-Habanos a ≥24 €</t>
  </si>
  <si>
    <t xml:space="preserve">Competencia de Habanos con reputación</t>
  </si>
  <si>
    <t xml:space="preserve">Cartas de interés (C6) antes de producir</t>
  </si>
  <si>
    <t xml:space="preserve">Entrevistas</t>
  </si>
  <si>
    <t xml:space="preserve">R15</t>
  </si>
  <si>
    <t xml:space="preserve">Distribuidor habilitado rechaza la marca o exige tarifa elevada</t>
  </si>
  <si>
    <t xml:space="preserve">Poder de negociación del canal (Porter)</t>
  </si>
  <si>
    <t xml:space="preserve">Tabla volumen×tarifa; alternativas de distribuidor</t>
  </si>
  <si>
    <t xml:space="preserve">Carta de intención</t>
  </si>
  <si>
    <t xml:space="preserve">R16</t>
  </si>
  <si>
    <t xml:space="preserve">Operativo</t>
  </si>
  <si>
    <t xml:space="preserve">Calidad inconsistente entre pliegos</t>
  </si>
  <si>
    <t xml:space="preserve">Variabilidad de hoja y torcedores</t>
  </si>
  <si>
    <t xml:space="preserve">Control de calidad</t>
  </si>
  <si>
    <t xml:space="preserve">Ficha técnica, AQL, catas, derecho de rechazo</t>
  </si>
  <si>
    <t xml:space="preserve">Registro de pliego</t>
  </si>
  <si>
    <t xml:space="preserve">R17</t>
  </si>
  <si>
    <t xml:space="preserve">Disponibilidad de hoja de la misma liga no garantizada</t>
  </si>
  <si>
    <t xml:space="preserve">Cosecha por debajo de objetivo (S47); Tabacuba asigna hoja</t>
  </si>
  <si>
    <t xml:space="preserve">Fábrica</t>
  </si>
  <si>
    <t xml:space="preserve">Cláusula de reserva de hoja</t>
  </si>
  <si>
    <t xml:space="preserve">Contrato</t>
  </si>
  <si>
    <t xml:space="preserve">R18</t>
  </si>
  <si>
    <t xml:space="preserve">Plaga, moho o daño en tránsito</t>
  </si>
  <si>
    <t xml:space="preserve">Clima, transporte</t>
  </si>
  <si>
    <t xml:space="preserve">Logística</t>
  </si>
  <si>
    <t xml:space="preserve">Tratamiento previo, embalaje, seguro</t>
  </si>
  <si>
    <t xml:space="preserve">Inspección en destino</t>
  </si>
  <si>
    <t xml:space="preserve">R19</t>
  </si>
  <si>
    <t xml:space="preserve">Retrasos de producción/transporte (10+ meses)</t>
  </si>
  <si>
    <t xml:space="preserve">Energía, logística cubana</t>
  </si>
  <si>
    <t xml:space="preserve">Hitos de pago ligados a entrega; stock de seguridad</t>
  </si>
  <si>
    <t xml:space="preserve">Seguimiento</t>
  </si>
  <si>
    <t xml:space="preserve">R20</t>
  </si>
  <si>
    <t xml:space="preserve">Fraude</t>
  </si>
  <si>
    <t xml:space="preserve">Oferta de Behike u otros Habanos a precio anómalo (falsificación/desvío)</t>
  </si>
  <si>
    <t xml:space="preserve">Precio ≈2% del PVP</t>
  </si>
  <si>
    <t xml:space="preserve">NO-GO absoluto; protocolo de procedencia</t>
  </si>
  <si>
    <t xml:space="preserve">—</t>
  </si>
  <si>
    <t xml:space="preserve">R21</t>
  </si>
  <si>
    <t xml:space="preserve">Penal/aduanero</t>
  </si>
  <si>
    <t xml:space="preserve">Contrabando por importar sin DUA o en equipaje con fines comerciales</t>
  </si>
  <si>
    <t xml:space="preserve">Umbral penal 15.000 € tabaco (N01)</t>
  </si>
  <si>
    <t xml:space="preserve">Sólo importaciones declaradas y habilitadas</t>
  </si>
  <si>
    <t xml:space="preserve">R29</t>
  </si>
  <si>
    <t xml:space="preserve">Marca / persona</t>
  </si>
  <si>
    <t xml:space="preserve">Arnaldo retira su colaboración, fallece o entra en conflicto: la marca lleva su nombre</t>
  </si>
  <si>
    <t xml:space="preserve">Marca de nombre propio</t>
  </si>
  <si>
    <t xml:space="preserve">Licencia de nombre/firma irrevocable y transferible; cláusulas leaver y fallecimiento; derecho de recompra</t>
  </si>
  <si>
    <t xml:space="preserve">Cambio de actitud / situación laboral</t>
  </si>
  <si>
    <t xml:space="preserve">R30</t>
  </si>
  <si>
    <t xml:space="preserve">El empleador de Arnaldo o una entidad cubana reclama la marca o su nombre (precedentes Davidoff y Vegas Robaina)</t>
  </si>
  <si>
    <t xml:space="preserve">Fabricación dentro del sistema estatal</t>
  </si>
  <si>
    <t xml:space="preserve">Registro previo UE y Cuba a nombre de la SL; autorización escrita del empleador; cláusula de titularidad en contrato de fabricación</t>
  </si>
  <si>
    <t xml:space="preserve">R31</t>
  </si>
  <si>
    <t xml:space="preserve">Marca</t>
  </si>
  <si>
    <t xml:space="preserve">Asociación con Arnaldo Vichot (ex maestro ligador de Partagás) o confusión con ARLONDO</t>
  </si>
  <si>
    <t xml:space="preserve">Nombre de pila común</t>
  </si>
  <si>
    <t xml:space="preserve">Registrar con apellido y firma; no sugerir vínculo</t>
  </si>
  <si>
    <t xml:space="preserve">Informe de registrabilidad</t>
  </si>
  <si>
    <t xml:space="preserve">R22</t>
  </si>
  <si>
    <t xml:space="preserve">Oposición o colisión de la marca ARNALDO en clase 34</t>
  </si>
  <si>
    <t xml:space="preserve">Búsqueda preliminar no oficial</t>
  </si>
  <si>
    <t xml:space="preserve">Informe de registrabilidad; reservas LUMBRE/VELADA</t>
  </si>
  <si>
    <t xml:space="preserve">Informe</t>
  </si>
  <si>
    <t xml:space="preserve">R23</t>
  </si>
  <si>
    <t xml:space="preserve">Fiscal</t>
  </si>
  <si>
    <t xml:space="preserve">C</t>
  </si>
  <si>
    <t xml:space="preserve">Recalificación de estructura andorrana (dirección efectiva, EP, vinculadas)</t>
  </si>
  <si>
    <t xml:space="preserve">Traslado del promotor</t>
  </si>
  <si>
    <t xml:space="preserve">Asesor fiscal</t>
  </si>
  <si>
    <t xml:space="preserve">Sustancia real; precios de transferencia; preferir SL española</t>
  </si>
  <si>
    <t xml:space="preserve">R24</t>
  </si>
  <si>
    <t xml:space="preserve">Residencia fiscal del promotor en transición 2027 (doble residencia)</t>
  </si>
  <si>
    <t xml:space="preserve">Cambio de domicilio a mitad de año</t>
  </si>
  <si>
    <t xml:space="preserve">Certificado de residencia; CDI España–Andorra (S34)</t>
  </si>
  <si>
    <t xml:space="preserve">Certificado</t>
  </si>
  <si>
    <t xml:space="preserve">R25</t>
  </si>
  <si>
    <t xml:space="preserve">Divisa</t>
  </si>
  <si>
    <t xml:space="preserve">Apreciación del USD frente al EUR</t>
  </si>
  <si>
    <t xml:space="preserve">Precio en USD</t>
  </si>
  <si>
    <t xml:space="preserve">Precio en EUR si es posible; cobertura</t>
  </si>
  <si>
    <t xml:space="preserve">R26</t>
  </si>
  <si>
    <t xml:space="preserve">Reputacional</t>
  </si>
  <si>
    <t xml:space="preserve">Asociación con contraparte sancionada o con prácticas irregulares</t>
  </si>
  <si>
    <t xml:space="preserve">Ecosistema Habanos afectado por sanciones</t>
  </si>
  <si>
    <t xml:space="preserve">Screening de sanciones UE/ONU/OFAC de toda contraparte</t>
  </si>
  <si>
    <t xml:space="preserve">Informe de screening</t>
  </si>
  <si>
    <t xml:space="preserve">R27</t>
  </si>
  <si>
    <t xml:space="preserve">Dependencia</t>
  </si>
  <si>
    <t xml:space="preserve">Dependencia total de un único fabricante estatal</t>
  </si>
  <si>
    <t xml:space="preserve">Estructura del sector</t>
  </si>
  <si>
    <t xml:space="preserve">Marca transferible; diseño y ficha técnica propiedad de la SL</t>
  </si>
  <si>
    <t xml:space="preserve">R28</t>
  </si>
  <si>
    <t xml:space="preserve">Salida</t>
  </si>
  <si>
    <t xml:space="preserve">Dificultad de vender la marca (comprador limitado por origen Cuba y embargo de EE.UU.)</t>
  </si>
  <si>
    <t xml:space="preserve">Mercado de compradores reducido</t>
  </si>
  <si>
    <t xml:space="preserve">Construir valor en UE/Asia; documentación de marca impecable</t>
  </si>
  <si>
    <t xml:space="preserve">Riesgos críticos</t>
  </si>
  <si>
    <t xml:space="preserve">Matriz de riesgos regulatorios por jurisdicción</t>
  </si>
  <si>
    <t xml:space="preserve">Estado según convención del proyecto.</t>
  </si>
  <si>
    <t xml:space="preserve">Jurisdicción</t>
  </si>
  <si>
    <t xml:space="preserve">Norma / hecho</t>
  </si>
  <si>
    <t xml:space="preserve">Impacto en el proyecto</t>
  </si>
  <si>
    <t xml:space="preserve">Estado (fuente)</t>
  </si>
  <si>
    <t xml:space="preserve">Acción</t>
  </si>
  <si>
    <t xml:space="preserve">Cuba</t>
  </si>
  <si>
    <t xml:space="preserve">Exportación de puros premium canalizada por Habanos S.A.</t>
  </si>
  <si>
    <t xml:space="preserve">Determina quién puede exportar la marca</t>
  </si>
  <si>
    <t xml:space="preserve">PROBABLE (S01, S05)</t>
  </si>
  <si>
    <t xml:space="preserve">Confirmación escrita (Fase 0)</t>
  </si>
  <si>
    <t xml:space="preserve">Tabacuba: comprador exclusivo de hoja; dirige la actividad</t>
  </si>
  <si>
    <t xml:space="preserve">Acceso a hoja sólo vía sistema estatal</t>
  </si>
  <si>
    <t xml:space="preserve">PROBABLE (S05, S46)</t>
  </si>
  <si>
    <t xml:space="preserve">DD fábrica</t>
  </si>
  <si>
    <t xml:space="preserve">DL 133/2026: mipymes pueden importar/exportar con autorización MINCEX</t>
  </si>
  <si>
    <t xml:space="preserve">Posible vía privada, pero producción de tabaco históricamente prohibida a mipymes (S44)</t>
  </si>
  <si>
    <t xml:space="preserve">VERIFICADO (norma) / BLOQUEADO (aplicación al tabaco)</t>
  </si>
  <si>
    <t xml:space="preserve">Consulta MINCEX</t>
  </si>
  <si>
    <t xml:space="preserve">Res. 98/2022 MINAG: exportación de tabaco torcido</t>
  </si>
  <si>
    <t xml:space="preserve">Fuera de canales autorizados = exportación ilegal</t>
  </si>
  <si>
    <t xml:space="preserve">PROBABLE (S09)</t>
  </si>
  <si>
    <t xml:space="preserve">Obtener texto en Gaceta</t>
  </si>
  <si>
    <t xml:space="preserve">DL 203/1999 de marcas; registro OCPI vía agente oficial</t>
  </si>
  <si>
    <t xml:space="preserve">Necesario registrar ARNALDO (a nombre de la SL) en Cuba</t>
  </si>
  <si>
    <t xml:space="preserve">PROBABLE (S42)</t>
  </si>
  <si>
    <t xml:space="preserve">Agente oficial</t>
  </si>
  <si>
    <t xml:space="preserve">DL 128/2026 (Ley 118 inversión extranjera)</t>
  </si>
  <si>
    <t xml:space="preserve">Empresa mixta = inversión desproporcionada para 15–100 k€</t>
  </si>
  <si>
    <t xml:space="preserve">VERIFICADO (S07)</t>
  </si>
  <si>
    <t xml:space="preserve">UE</t>
  </si>
  <si>
    <t xml:space="preserve">Directiva 2014/40/UE (TPD): ingredientes, advertencias, trazabilidad, venta a distancia</t>
  </si>
  <si>
    <t xml:space="preserve">Obligaciones de titular/importador</t>
  </si>
  <si>
    <t xml:space="preserve">PROBABLE (N03)</t>
  </si>
  <si>
    <t xml:space="preserve">Reg. Ejec. 2018/574 trazabilidad (cigarros desde 20/05/2024)</t>
  </si>
  <si>
    <t xml:space="preserve">Identificadores únicos y elementos de seguridad</t>
  </si>
  <si>
    <t xml:space="preserve">VERIFICADO (S28)</t>
  </si>
  <si>
    <t xml:space="preserve">Alta en sistema</t>
  </si>
  <si>
    <t xml:space="preserve">Arancel 2402 10 00 (26% convencional)</t>
  </si>
  <si>
    <t xml:space="preserve">Coste ≈2 €/u en origen Cuba</t>
  </si>
  <si>
    <t xml:space="preserve">PROBABLE (S32)</t>
  </si>
  <si>
    <t xml:space="preserve">TARIC</t>
  </si>
  <si>
    <t xml:space="preserve">Agotamiento regional de marca (Reg. 2017/1001)</t>
  </si>
  <si>
    <t xml:space="preserve">Importación paralela de Habanos desde fuera del EEE prohibida sin consentimiento</t>
  </si>
  <si>
    <t xml:space="preserve">PROBABLE (N02)</t>
  </si>
  <si>
    <t xml:space="preserve">Sanciones UE a Chen Zhi (30/07/2026)</t>
  </si>
  <si>
    <t xml:space="preserve">Afecta distribuidor exclusivo de Habanos</t>
  </si>
  <si>
    <t xml:space="preserve">VERIFICADO (S21)</t>
  </si>
  <si>
    <t xml:space="preserve">Screening</t>
  </si>
  <si>
    <t xml:space="preserve">Revisión Directiva fiscalidad tabaco (efectos 2028)</t>
  </si>
  <si>
    <t xml:space="preserve">Mínimos más altos (cigarros)</t>
  </si>
  <si>
    <t xml:space="preserve">PROBABLE (S31)</t>
  </si>
  <si>
    <t xml:space="preserve">España</t>
  </si>
  <si>
    <t xml:space="preserve">Ley 13/1998 y RD 1199/1999: habilitaciones, monopolio minorista</t>
  </si>
  <si>
    <t xml:space="preserve">Canal obligatorio vía expendedurías</t>
  </si>
  <si>
    <t xml:space="preserve">VERIFICADO (S16, S17, S26)</t>
  </si>
  <si>
    <t xml:space="preserve">Habilitación</t>
  </si>
  <si>
    <t xml:space="preserve">IEE cigarros 15,8% PVP, mín. 47 €/1.000</t>
  </si>
  <si>
    <t xml:space="preserve">≈15,8% del PVP</t>
  </si>
  <si>
    <t xml:space="preserve">VERIFICADO (S14)</t>
  </si>
  <si>
    <t xml:space="preserve">Margen expendedor cigarros 9%</t>
  </si>
  <si>
    <t xml:space="preserve">≈9% del PVP</t>
  </si>
  <si>
    <t xml:space="preserve">PROBABLE (S15)</t>
  </si>
  <si>
    <t xml:space="preserve">Texto consolidado</t>
  </si>
  <si>
    <t xml:space="preserve">Marcas fiscales en cigarros (Orden HAC/66/2024)</t>
  </si>
  <si>
    <t xml:space="preserve">Coste y logística de precintas</t>
  </si>
  <si>
    <t xml:space="preserve">VERIFICADO (S27)</t>
  </si>
  <si>
    <t xml:space="preserve">Solicitud</t>
  </si>
  <si>
    <t xml:space="preserve">RD 579/2017 etiquetado y advertencias</t>
  </si>
  <si>
    <t xml:space="preserve">Diseño de caja condicionado</t>
  </si>
  <si>
    <t xml:space="preserve">VERIFICADO (S30) / % exactos PENDIENTES</t>
  </si>
  <si>
    <t xml:space="preserve">Revisión artes</t>
  </si>
  <si>
    <t xml:space="preserve">Ley 28/2005 publicidad del tabaco</t>
  </si>
  <si>
    <t xml:space="preserve">Sin marketing al consumidor</t>
  </si>
  <si>
    <t xml:space="preserve">PROBABLE</t>
  </si>
  <si>
    <t xml:space="preserve">Revisión materiales</t>
  </si>
  <si>
    <t xml:space="preserve">LO 12/1995 contrabando</t>
  </si>
  <si>
    <t xml:space="preserve">Exposición penal ≥15.000 €</t>
  </si>
  <si>
    <t xml:space="preserve">PROBABLE (N01)</t>
  </si>
  <si>
    <t xml:space="preserve">EE.UU.</t>
  </si>
  <si>
    <t xml:space="preserve">CACR / OFAC (embargo a Cuba)</t>
  </si>
  <si>
    <t xml:space="preserve">Bancos, USD, personas estadounidenses</t>
  </si>
  <si>
    <t xml:space="preserve">PROBABLE (N06)</t>
  </si>
  <si>
    <t xml:space="preserve">Andorra</t>
  </si>
  <si>
    <t xml:space="preserve">Impuesto sobre Sociedades 10%; CDI con España (2015)</t>
  </si>
  <si>
    <t xml:space="preserve">Estructuras sólo con sustancia</t>
  </si>
  <si>
    <t xml:space="preserve">HIPÓTESIS (N07) / VERIFICADO (S34)</t>
  </si>
  <si>
    <t xml:space="preserve">Asesor andorrano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</si>
</sst>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F4E9E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A3E2B"/>
        <bgColor rgb="FF666666"/>
      </patternFill>
    </fill>
    <fill>
      <patternFill patternType="solid">
        <fgColor rgb="FFFFF8E1"/>
        <bgColor rgb="FFFFFFFF"/>
      </patternFill>
    </fill>
    <fill>
      <patternFill patternType="solid">
        <fgColor rgb="FFE2F0D9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1F4E9E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38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50"/>
    <col collapsed="false" customWidth="true" hidden="false" outlineLevel="0" max="12" min="12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8.3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5" t="n">
        <v>4</v>
      </c>
      <c r="G5" s="5" t="n">
        <v>5</v>
      </c>
      <c r="H5" s="6" t="n">
        <f aca="false">F5*G5</f>
        <v>20</v>
      </c>
      <c r="I5" s="7" t="str">
        <f aca="false">IF(H5&gt;=15,"Crítico",IF(H5&gt;=8,"Alto","Medio/bajo"))</f>
        <v>Crítico</v>
      </c>
      <c r="J5" s="4" t="s">
        <v>19</v>
      </c>
      <c r="K5" s="4" t="s">
        <v>20</v>
      </c>
      <c r="L5" s="4" t="s">
        <v>21</v>
      </c>
    </row>
    <row r="6" customFormat="false" ht="28.35" hidden="false" customHeight="false" outlineLevel="0" collapsed="false">
      <c r="A6" s="4" t="s">
        <v>22</v>
      </c>
      <c r="B6" s="4" t="s">
        <v>15</v>
      </c>
      <c r="C6" s="4" t="s">
        <v>16</v>
      </c>
      <c r="D6" s="4" t="s">
        <v>23</v>
      </c>
      <c r="E6" s="4" t="s">
        <v>24</v>
      </c>
      <c r="F6" s="5" t="n">
        <v>4</v>
      </c>
      <c r="G6" s="5" t="n">
        <v>5</v>
      </c>
      <c r="H6" s="6" t="n">
        <f aca="false">F6*G6</f>
        <v>20</v>
      </c>
      <c r="I6" s="7" t="str">
        <f aca="false">IF(H6&gt;=15,"Crítico",IF(H6&gt;=8,"Alto","Medio/bajo"))</f>
        <v>Crítico</v>
      </c>
      <c r="J6" s="4" t="s">
        <v>25</v>
      </c>
      <c r="K6" s="4" t="s">
        <v>26</v>
      </c>
      <c r="L6" s="4" t="s">
        <v>27</v>
      </c>
    </row>
    <row r="7" customFormat="false" ht="28.35" hidden="false" customHeight="false" outlineLevel="0" collapsed="false">
      <c r="A7" s="4" t="s">
        <v>28</v>
      </c>
      <c r="B7" s="4" t="s">
        <v>15</v>
      </c>
      <c r="C7" s="4" t="s">
        <v>16</v>
      </c>
      <c r="D7" s="4" t="s">
        <v>29</v>
      </c>
      <c r="E7" s="4" t="s">
        <v>30</v>
      </c>
      <c r="F7" s="5" t="n">
        <v>3</v>
      </c>
      <c r="G7" s="5" t="n">
        <v>5</v>
      </c>
      <c r="H7" s="6" t="n">
        <f aca="false">F7*G7</f>
        <v>15</v>
      </c>
      <c r="I7" s="7" t="str">
        <f aca="false">IF(H7&gt;=15,"Crítico",IF(H7&gt;=8,"Alto","Medio/bajo"))</f>
        <v>Crítico</v>
      </c>
      <c r="J7" s="4" t="s">
        <v>31</v>
      </c>
      <c r="K7" s="4" t="s">
        <v>32</v>
      </c>
      <c r="L7" s="4" t="s">
        <v>33</v>
      </c>
    </row>
    <row r="8" customFormat="false" ht="28.35" hidden="false" customHeight="false" outlineLevel="0" collapsed="false">
      <c r="A8" s="4" t="s">
        <v>34</v>
      </c>
      <c r="B8" s="4" t="s">
        <v>35</v>
      </c>
      <c r="C8" s="4" t="s">
        <v>16</v>
      </c>
      <c r="D8" s="4" t="s">
        <v>36</v>
      </c>
      <c r="E8" s="4" t="s">
        <v>37</v>
      </c>
      <c r="F8" s="5" t="n">
        <v>3</v>
      </c>
      <c r="G8" s="5" t="n">
        <v>4</v>
      </c>
      <c r="H8" s="6" t="n">
        <f aca="false">F8*G8</f>
        <v>12</v>
      </c>
      <c r="I8" s="7" t="str">
        <f aca="false">IF(H8&gt;=15,"Crítico",IF(H8&gt;=8,"Alto","Medio/bajo"))</f>
        <v>Alto</v>
      </c>
      <c r="J8" s="4" t="s">
        <v>31</v>
      </c>
      <c r="K8" s="4" t="s">
        <v>38</v>
      </c>
      <c r="L8" s="4" t="s">
        <v>39</v>
      </c>
    </row>
    <row r="9" customFormat="false" ht="28.35" hidden="false" customHeight="false" outlineLevel="0" collapsed="false">
      <c r="A9" s="4" t="s">
        <v>40</v>
      </c>
      <c r="B9" s="4" t="s">
        <v>15</v>
      </c>
      <c r="C9" s="4" t="s">
        <v>16</v>
      </c>
      <c r="D9" s="4" t="s">
        <v>41</v>
      </c>
      <c r="E9" s="4" t="s">
        <v>42</v>
      </c>
      <c r="F9" s="5" t="n">
        <v>3</v>
      </c>
      <c r="G9" s="5" t="n">
        <v>4</v>
      </c>
      <c r="H9" s="6" t="n">
        <f aca="false">F9*G9</f>
        <v>12</v>
      </c>
      <c r="I9" s="7" t="str">
        <f aca="false">IF(H9&gt;=15,"Crítico",IF(H9&gt;=8,"Alto","Medio/bajo"))</f>
        <v>Alto</v>
      </c>
      <c r="J9" s="4" t="s">
        <v>43</v>
      </c>
      <c r="K9" s="4" t="s">
        <v>44</v>
      </c>
      <c r="L9" s="4" t="s">
        <v>45</v>
      </c>
    </row>
    <row r="10" customFormat="false" ht="28.35" hidden="false" customHeight="false" outlineLevel="0" collapsed="false">
      <c r="A10" s="4" t="s">
        <v>46</v>
      </c>
      <c r="B10" s="4" t="s">
        <v>47</v>
      </c>
      <c r="C10" s="4" t="s">
        <v>16</v>
      </c>
      <c r="D10" s="4" t="s">
        <v>48</v>
      </c>
      <c r="E10" s="4" t="s">
        <v>49</v>
      </c>
      <c r="F10" s="5" t="n">
        <v>4</v>
      </c>
      <c r="G10" s="5" t="n">
        <v>4</v>
      </c>
      <c r="H10" s="6" t="n">
        <f aca="false">F10*G10</f>
        <v>16</v>
      </c>
      <c r="I10" s="7" t="str">
        <f aca="false">IF(H10&gt;=15,"Crítico",IF(H10&gt;=8,"Alto","Medio/bajo"))</f>
        <v>Crítico</v>
      </c>
      <c r="J10" s="4" t="s">
        <v>50</v>
      </c>
      <c r="K10" s="4" t="s">
        <v>51</v>
      </c>
      <c r="L10" s="4" t="s">
        <v>52</v>
      </c>
    </row>
    <row r="11" customFormat="false" ht="28.35" hidden="false" customHeight="false" outlineLevel="0" collapsed="false">
      <c r="A11" s="4" t="s">
        <v>53</v>
      </c>
      <c r="B11" s="4" t="s">
        <v>47</v>
      </c>
      <c r="C11" s="4" t="s">
        <v>16</v>
      </c>
      <c r="D11" s="4" t="s">
        <v>54</v>
      </c>
      <c r="E11" s="4" t="s">
        <v>55</v>
      </c>
      <c r="F11" s="5" t="n">
        <v>4</v>
      </c>
      <c r="G11" s="5" t="n">
        <v>4</v>
      </c>
      <c r="H11" s="6" t="n">
        <f aca="false">F11*G11</f>
        <v>16</v>
      </c>
      <c r="I11" s="7" t="str">
        <f aca="false">IF(H11&gt;=15,"Crítico",IF(H11&gt;=8,"Alto","Medio/bajo"))</f>
        <v>Crítico</v>
      </c>
      <c r="J11" s="4" t="s">
        <v>50</v>
      </c>
      <c r="K11" s="4" t="s">
        <v>56</v>
      </c>
      <c r="L11" s="4" t="s">
        <v>57</v>
      </c>
    </row>
    <row r="12" customFormat="false" ht="15" hidden="false" customHeight="false" outlineLevel="0" collapsed="false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5" t="n">
        <v>4</v>
      </c>
      <c r="G12" s="5" t="n">
        <v>4</v>
      </c>
      <c r="H12" s="6" t="n">
        <f aca="false">F12*G12</f>
        <v>16</v>
      </c>
      <c r="I12" s="7" t="str">
        <f aca="false">IF(H12&gt;=15,"Crítico",IF(H12&gt;=8,"Alto","Medio/bajo"))</f>
        <v>Crítico</v>
      </c>
      <c r="J12" s="4" t="s">
        <v>50</v>
      </c>
      <c r="K12" s="4" t="s">
        <v>63</v>
      </c>
      <c r="L12" s="4" t="s">
        <v>64</v>
      </c>
    </row>
    <row r="13" customFormat="false" ht="28.35" hidden="false" customHeight="false" outlineLevel="0" collapsed="false">
      <c r="A13" s="4" t="s">
        <v>65</v>
      </c>
      <c r="B13" s="4" t="s">
        <v>66</v>
      </c>
      <c r="C13" s="4" t="s">
        <v>60</v>
      </c>
      <c r="D13" s="4" t="s">
        <v>67</v>
      </c>
      <c r="E13" s="4" t="s">
        <v>68</v>
      </c>
      <c r="F13" s="5" t="n">
        <v>2</v>
      </c>
      <c r="G13" s="5" t="n">
        <v>4</v>
      </c>
      <c r="H13" s="6" t="n">
        <f aca="false">F13*G13</f>
        <v>8</v>
      </c>
      <c r="I13" s="7" t="str">
        <f aca="false">IF(H13&gt;=15,"Crítico",IF(H13&gt;=8,"Alto","Medio/bajo"))</f>
        <v>Alto</v>
      </c>
      <c r="J13" s="4" t="s">
        <v>25</v>
      </c>
      <c r="K13" s="4" t="s">
        <v>69</v>
      </c>
      <c r="L13" s="4" t="s">
        <v>70</v>
      </c>
    </row>
    <row r="14" customFormat="false" ht="28.35" hidden="false" customHeight="false" outlineLevel="0" collapsed="false">
      <c r="A14" s="4" t="s">
        <v>71</v>
      </c>
      <c r="B14" s="4" t="s">
        <v>66</v>
      </c>
      <c r="C14" s="4" t="s">
        <v>72</v>
      </c>
      <c r="D14" s="4" t="s">
        <v>73</v>
      </c>
      <c r="E14" s="4" t="s">
        <v>74</v>
      </c>
      <c r="F14" s="5" t="n">
        <v>4</v>
      </c>
      <c r="G14" s="5" t="n">
        <v>3</v>
      </c>
      <c r="H14" s="6" t="n">
        <f aca="false">F14*G14</f>
        <v>12</v>
      </c>
      <c r="I14" s="7" t="str">
        <f aca="false">IF(H14&gt;=15,"Crítico",IF(H14&gt;=8,"Alto","Medio/bajo"))</f>
        <v>Alto</v>
      </c>
      <c r="J14" s="4" t="s">
        <v>50</v>
      </c>
      <c r="K14" s="4" t="s">
        <v>75</v>
      </c>
      <c r="L14" s="4" t="s">
        <v>76</v>
      </c>
    </row>
    <row r="15" customFormat="false" ht="28.35" hidden="false" customHeight="false" outlineLevel="0" collapsed="false">
      <c r="A15" s="4" t="s">
        <v>77</v>
      </c>
      <c r="B15" s="4" t="s">
        <v>78</v>
      </c>
      <c r="C15" s="4" t="s">
        <v>60</v>
      </c>
      <c r="D15" s="4" t="s">
        <v>79</v>
      </c>
      <c r="E15" s="4" t="s">
        <v>80</v>
      </c>
      <c r="F15" s="5" t="n">
        <v>3</v>
      </c>
      <c r="G15" s="5" t="n">
        <v>3</v>
      </c>
      <c r="H15" s="6" t="n">
        <f aca="false">F15*G15</f>
        <v>9</v>
      </c>
      <c r="I15" s="7" t="str">
        <f aca="false">IF(H15&gt;=15,"Crítico",IF(H15&gt;=8,"Alto","Medio/bajo"))</f>
        <v>Alto</v>
      </c>
      <c r="J15" s="4" t="s">
        <v>81</v>
      </c>
      <c r="K15" s="4" t="s">
        <v>82</v>
      </c>
      <c r="L15" s="4" t="s">
        <v>83</v>
      </c>
    </row>
    <row r="16" customFormat="false" ht="28.35" hidden="false" customHeight="false" outlineLevel="0" collapsed="false">
      <c r="A16" s="4" t="s">
        <v>84</v>
      </c>
      <c r="B16" s="4" t="s">
        <v>78</v>
      </c>
      <c r="C16" s="4" t="s">
        <v>60</v>
      </c>
      <c r="D16" s="4" t="s">
        <v>85</v>
      </c>
      <c r="E16" s="4" t="s">
        <v>86</v>
      </c>
      <c r="F16" s="5" t="n">
        <v>3</v>
      </c>
      <c r="G16" s="5" t="n">
        <v>2</v>
      </c>
      <c r="H16" s="6" t="n">
        <f aca="false">F16*G16</f>
        <v>6</v>
      </c>
      <c r="I16" s="7" t="str">
        <f aca="false">IF(H16&gt;=15,"Crítico",IF(H16&gt;=8,"Alto","Medio/bajo"))</f>
        <v>Medio/bajo</v>
      </c>
      <c r="J16" s="4" t="s">
        <v>50</v>
      </c>
      <c r="K16" s="4" t="s">
        <v>87</v>
      </c>
      <c r="L16" s="4" t="s">
        <v>88</v>
      </c>
    </row>
    <row r="17" customFormat="false" ht="15" hidden="false" customHeight="false" outlineLevel="0" collapsed="false">
      <c r="A17" s="4" t="s">
        <v>89</v>
      </c>
      <c r="B17" s="4" t="s">
        <v>78</v>
      </c>
      <c r="C17" s="4" t="s">
        <v>60</v>
      </c>
      <c r="D17" s="4" t="s">
        <v>90</v>
      </c>
      <c r="E17" s="4" t="s">
        <v>91</v>
      </c>
      <c r="F17" s="5" t="n">
        <v>2</v>
      </c>
      <c r="G17" s="5" t="n">
        <v>4</v>
      </c>
      <c r="H17" s="6" t="n">
        <f aca="false">F17*G17</f>
        <v>8</v>
      </c>
      <c r="I17" s="7" t="str">
        <f aca="false">IF(H17&gt;=15,"Crítico",IF(H17&gt;=8,"Alto","Medio/bajo"))</f>
        <v>Alto</v>
      </c>
      <c r="J17" s="4" t="s">
        <v>50</v>
      </c>
      <c r="K17" s="4" t="s">
        <v>92</v>
      </c>
      <c r="L17" s="4" t="s">
        <v>93</v>
      </c>
    </row>
    <row r="18" customFormat="false" ht="28.35" hidden="false" customHeight="false" outlineLevel="0" collapsed="false">
      <c r="A18" s="4" t="s">
        <v>94</v>
      </c>
      <c r="B18" s="4" t="s">
        <v>95</v>
      </c>
      <c r="C18" s="4" t="s">
        <v>16</v>
      </c>
      <c r="D18" s="4" t="s">
        <v>96</v>
      </c>
      <c r="E18" s="4" t="s">
        <v>97</v>
      </c>
      <c r="F18" s="5" t="n">
        <v>4</v>
      </c>
      <c r="G18" s="5" t="n">
        <v>4</v>
      </c>
      <c r="H18" s="6" t="n">
        <f aca="false">F18*G18</f>
        <v>16</v>
      </c>
      <c r="I18" s="7" t="str">
        <f aca="false">IF(H18&gt;=15,"Crítico",IF(H18&gt;=8,"Alto","Medio/bajo"))</f>
        <v>Crítico</v>
      </c>
      <c r="J18" s="4" t="s">
        <v>50</v>
      </c>
      <c r="K18" s="4" t="s">
        <v>98</v>
      </c>
      <c r="L18" s="4" t="s">
        <v>99</v>
      </c>
    </row>
    <row r="19" customFormat="false" ht="28.35" hidden="false" customHeight="false" outlineLevel="0" collapsed="false">
      <c r="A19" s="4" t="s">
        <v>100</v>
      </c>
      <c r="B19" s="4" t="s">
        <v>95</v>
      </c>
      <c r="C19" s="4" t="s">
        <v>60</v>
      </c>
      <c r="D19" s="4" t="s">
        <v>101</v>
      </c>
      <c r="E19" s="4" t="s">
        <v>102</v>
      </c>
      <c r="F19" s="5" t="n">
        <v>3</v>
      </c>
      <c r="G19" s="5" t="n">
        <v>4</v>
      </c>
      <c r="H19" s="6" t="n">
        <f aca="false">F19*G19</f>
        <v>12</v>
      </c>
      <c r="I19" s="7" t="str">
        <f aca="false">IF(H19&gt;=15,"Crítico",IF(H19&gt;=8,"Alto","Medio/bajo"))</f>
        <v>Alto</v>
      </c>
      <c r="J19" s="4" t="s">
        <v>50</v>
      </c>
      <c r="K19" s="4" t="s">
        <v>103</v>
      </c>
      <c r="L19" s="4" t="s">
        <v>104</v>
      </c>
    </row>
    <row r="20" customFormat="false" ht="15" hidden="false" customHeight="false" outlineLevel="0" collapsed="false">
      <c r="A20" s="4" t="s">
        <v>105</v>
      </c>
      <c r="B20" s="4" t="s">
        <v>106</v>
      </c>
      <c r="C20" s="4" t="s">
        <v>16</v>
      </c>
      <c r="D20" s="4" t="s">
        <v>107</v>
      </c>
      <c r="E20" s="4" t="s">
        <v>108</v>
      </c>
      <c r="F20" s="5" t="n">
        <v>3</v>
      </c>
      <c r="G20" s="5" t="n">
        <v>4</v>
      </c>
      <c r="H20" s="6" t="n">
        <f aca="false">F20*G20</f>
        <v>12</v>
      </c>
      <c r="I20" s="7" t="str">
        <f aca="false">IF(H20&gt;=15,"Crítico",IF(H20&gt;=8,"Alto","Medio/bajo"))</f>
        <v>Alto</v>
      </c>
      <c r="J20" s="4" t="s">
        <v>109</v>
      </c>
      <c r="K20" s="4" t="s">
        <v>110</v>
      </c>
      <c r="L20" s="4" t="s">
        <v>111</v>
      </c>
    </row>
    <row r="21" customFormat="false" ht="28.35" hidden="false" customHeight="false" outlineLevel="0" collapsed="false">
      <c r="A21" s="4" t="s">
        <v>112</v>
      </c>
      <c r="B21" s="4" t="s">
        <v>106</v>
      </c>
      <c r="C21" s="4" t="s">
        <v>16</v>
      </c>
      <c r="D21" s="4" t="s">
        <v>113</v>
      </c>
      <c r="E21" s="4" t="s">
        <v>114</v>
      </c>
      <c r="F21" s="5" t="n">
        <v>3</v>
      </c>
      <c r="G21" s="5" t="n">
        <v>4</v>
      </c>
      <c r="H21" s="6" t="n">
        <f aca="false">F21*G21</f>
        <v>12</v>
      </c>
      <c r="I21" s="7" t="str">
        <f aca="false">IF(H21&gt;=15,"Crítico",IF(H21&gt;=8,"Alto","Medio/bajo"))</f>
        <v>Alto</v>
      </c>
      <c r="J21" s="4" t="s">
        <v>115</v>
      </c>
      <c r="K21" s="4" t="s">
        <v>116</v>
      </c>
      <c r="L21" s="4" t="s">
        <v>117</v>
      </c>
    </row>
    <row r="22" customFormat="false" ht="15" hidden="false" customHeight="false" outlineLevel="0" collapsed="false">
      <c r="A22" s="4" t="s">
        <v>118</v>
      </c>
      <c r="B22" s="4" t="s">
        <v>106</v>
      </c>
      <c r="C22" s="4" t="s">
        <v>60</v>
      </c>
      <c r="D22" s="4" t="s">
        <v>119</v>
      </c>
      <c r="E22" s="4" t="s">
        <v>120</v>
      </c>
      <c r="F22" s="5" t="n">
        <v>2</v>
      </c>
      <c r="G22" s="5" t="n">
        <v>4</v>
      </c>
      <c r="H22" s="6" t="n">
        <f aca="false">F22*G22</f>
        <v>8</v>
      </c>
      <c r="I22" s="7" t="str">
        <f aca="false">IF(H22&gt;=15,"Crítico",IF(H22&gt;=8,"Alto","Medio/bajo"))</f>
        <v>Alto</v>
      </c>
      <c r="J22" s="4" t="s">
        <v>121</v>
      </c>
      <c r="K22" s="4" t="s">
        <v>122</v>
      </c>
      <c r="L22" s="4" t="s">
        <v>123</v>
      </c>
    </row>
    <row r="23" customFormat="false" ht="15" hidden="false" customHeight="false" outlineLevel="0" collapsed="false">
      <c r="A23" s="4" t="s">
        <v>124</v>
      </c>
      <c r="B23" s="4" t="s">
        <v>106</v>
      </c>
      <c r="C23" s="4" t="s">
        <v>16</v>
      </c>
      <c r="D23" s="4" t="s">
        <v>125</v>
      </c>
      <c r="E23" s="4" t="s">
        <v>126</v>
      </c>
      <c r="F23" s="5" t="n">
        <v>4</v>
      </c>
      <c r="G23" s="5" t="n">
        <v>3</v>
      </c>
      <c r="H23" s="6" t="n">
        <f aca="false">F23*G23</f>
        <v>12</v>
      </c>
      <c r="I23" s="7" t="str">
        <f aca="false">IF(H23&gt;=15,"Crítico",IF(H23&gt;=8,"Alto","Medio/bajo"))</f>
        <v>Alto</v>
      </c>
      <c r="J23" s="4" t="s">
        <v>50</v>
      </c>
      <c r="K23" s="4" t="s">
        <v>127</v>
      </c>
      <c r="L23" s="4" t="s">
        <v>128</v>
      </c>
    </row>
    <row r="24" customFormat="false" ht="28.35" hidden="false" customHeight="false" outlineLevel="0" collapsed="false">
      <c r="A24" s="4" t="s">
        <v>129</v>
      </c>
      <c r="B24" s="4" t="s">
        <v>130</v>
      </c>
      <c r="C24" s="4" t="s">
        <v>72</v>
      </c>
      <c r="D24" s="4" t="s">
        <v>131</v>
      </c>
      <c r="E24" s="4" t="s">
        <v>132</v>
      </c>
      <c r="F24" s="5" t="n">
        <v>5</v>
      </c>
      <c r="G24" s="5" t="n">
        <v>5</v>
      </c>
      <c r="H24" s="6" t="n">
        <f aca="false">F24*G24</f>
        <v>25</v>
      </c>
      <c r="I24" s="7" t="str">
        <f aca="false">IF(H24&gt;=15,"Crítico",IF(H24&gt;=8,"Alto","Medio/bajo"))</f>
        <v>Crítico</v>
      </c>
      <c r="J24" s="4" t="s">
        <v>50</v>
      </c>
      <c r="K24" s="4" t="s">
        <v>133</v>
      </c>
      <c r="L24" s="4" t="s">
        <v>134</v>
      </c>
    </row>
    <row r="25" customFormat="false" ht="28.35" hidden="false" customHeight="false" outlineLevel="0" collapsed="false">
      <c r="A25" s="4" t="s">
        <v>135</v>
      </c>
      <c r="B25" s="4" t="s">
        <v>136</v>
      </c>
      <c r="C25" s="4" t="s">
        <v>72</v>
      </c>
      <c r="D25" s="4" t="s">
        <v>137</v>
      </c>
      <c r="E25" s="4" t="s">
        <v>138</v>
      </c>
      <c r="F25" s="5" t="n">
        <v>2</v>
      </c>
      <c r="G25" s="5" t="n">
        <v>5</v>
      </c>
      <c r="H25" s="6" t="n">
        <f aca="false">F25*G25</f>
        <v>10</v>
      </c>
      <c r="I25" s="7" t="str">
        <f aca="false">IF(H25&gt;=15,"Crítico",IF(H25&gt;=8,"Alto","Medio/bajo"))</f>
        <v>Alto</v>
      </c>
      <c r="J25" s="4" t="s">
        <v>50</v>
      </c>
      <c r="K25" s="4" t="s">
        <v>139</v>
      </c>
      <c r="L25" s="4" t="s">
        <v>134</v>
      </c>
    </row>
    <row r="26" customFormat="false" ht="28.35" hidden="false" customHeight="false" outlineLevel="0" collapsed="false">
      <c r="A26" s="4" t="s">
        <v>140</v>
      </c>
      <c r="B26" s="4" t="s">
        <v>141</v>
      </c>
      <c r="C26" s="4" t="s">
        <v>16</v>
      </c>
      <c r="D26" s="4" t="s">
        <v>142</v>
      </c>
      <c r="E26" s="4" t="s">
        <v>143</v>
      </c>
      <c r="F26" s="5" t="n">
        <v>2</v>
      </c>
      <c r="G26" s="5" t="n">
        <v>5</v>
      </c>
      <c r="H26" s="6" t="n">
        <f aca="false">F26*G26</f>
        <v>10</v>
      </c>
      <c r="I26" s="7" t="str">
        <f aca="false">IF(H26&gt;=15,"Crítico",IF(H26&gt;=8,"Alto","Medio/bajo"))</f>
        <v>Alto</v>
      </c>
      <c r="J26" s="4" t="s">
        <v>25</v>
      </c>
      <c r="K26" s="4" t="s">
        <v>144</v>
      </c>
      <c r="L26" s="4" t="s">
        <v>145</v>
      </c>
    </row>
    <row r="27" customFormat="false" ht="41.75" hidden="false" customHeight="false" outlineLevel="0" collapsed="false">
      <c r="A27" s="4" t="s">
        <v>146</v>
      </c>
      <c r="B27" s="4" t="s">
        <v>141</v>
      </c>
      <c r="C27" s="4" t="s">
        <v>16</v>
      </c>
      <c r="D27" s="4" t="s">
        <v>147</v>
      </c>
      <c r="E27" s="4" t="s">
        <v>148</v>
      </c>
      <c r="F27" s="5" t="n">
        <v>3</v>
      </c>
      <c r="G27" s="5" t="n">
        <v>5</v>
      </c>
      <c r="H27" s="6" t="n">
        <f aca="false">F27*G27</f>
        <v>15</v>
      </c>
      <c r="I27" s="7" t="str">
        <f aca="false">IF(H27&gt;=15,"Crítico",IF(H27&gt;=8,"Alto","Medio/bajo"))</f>
        <v>Crítico</v>
      </c>
      <c r="J27" s="4" t="s">
        <v>31</v>
      </c>
      <c r="K27" s="4" t="s">
        <v>149</v>
      </c>
      <c r="L27" s="4" t="s">
        <v>27</v>
      </c>
    </row>
    <row r="28" customFormat="false" ht="28.35" hidden="false" customHeight="false" outlineLevel="0" collapsed="false">
      <c r="A28" s="4" t="s">
        <v>150</v>
      </c>
      <c r="B28" s="4" t="s">
        <v>151</v>
      </c>
      <c r="C28" s="4" t="s">
        <v>16</v>
      </c>
      <c r="D28" s="4" t="s">
        <v>152</v>
      </c>
      <c r="E28" s="4" t="s">
        <v>153</v>
      </c>
      <c r="F28" s="5" t="n">
        <v>2</v>
      </c>
      <c r="G28" s="5" t="n">
        <v>3</v>
      </c>
      <c r="H28" s="6" t="n">
        <f aca="false">F28*G28</f>
        <v>6</v>
      </c>
      <c r="I28" s="7" t="str">
        <f aca="false">IF(H28&gt;=15,"Crítico",IF(H28&gt;=8,"Alto","Medio/bajo"))</f>
        <v>Medio/bajo</v>
      </c>
      <c r="J28" s="4" t="s">
        <v>43</v>
      </c>
      <c r="K28" s="4" t="s">
        <v>154</v>
      </c>
      <c r="L28" s="4" t="s">
        <v>155</v>
      </c>
    </row>
    <row r="29" customFormat="false" ht="15" hidden="false" customHeight="false" outlineLevel="0" collapsed="false">
      <c r="A29" s="4" t="s">
        <v>156</v>
      </c>
      <c r="B29" s="4" t="s">
        <v>151</v>
      </c>
      <c r="C29" s="4" t="s">
        <v>16</v>
      </c>
      <c r="D29" s="4" t="s">
        <v>157</v>
      </c>
      <c r="E29" s="4" t="s">
        <v>158</v>
      </c>
      <c r="F29" s="5" t="n">
        <v>2</v>
      </c>
      <c r="G29" s="5" t="n">
        <v>4</v>
      </c>
      <c r="H29" s="6" t="n">
        <f aca="false">F29*G29</f>
        <v>8</v>
      </c>
      <c r="I29" s="7" t="str">
        <f aca="false">IF(H29&gt;=15,"Crítico",IF(H29&gt;=8,"Alto","Medio/bajo"))</f>
        <v>Alto</v>
      </c>
      <c r="J29" s="4" t="s">
        <v>43</v>
      </c>
      <c r="K29" s="4" t="s">
        <v>159</v>
      </c>
      <c r="L29" s="4" t="s">
        <v>160</v>
      </c>
    </row>
    <row r="30" customFormat="false" ht="28.35" hidden="false" customHeight="false" outlineLevel="0" collapsed="false">
      <c r="A30" s="4" t="s">
        <v>161</v>
      </c>
      <c r="B30" s="4" t="s">
        <v>162</v>
      </c>
      <c r="C30" s="4" t="s">
        <v>163</v>
      </c>
      <c r="D30" s="4" t="s">
        <v>164</v>
      </c>
      <c r="E30" s="4" t="s">
        <v>165</v>
      </c>
      <c r="F30" s="5" t="n">
        <v>3</v>
      </c>
      <c r="G30" s="5" t="n">
        <v>4</v>
      </c>
      <c r="H30" s="6" t="n">
        <f aca="false">F30*G30</f>
        <v>12</v>
      </c>
      <c r="I30" s="7" t="str">
        <f aca="false">IF(H30&gt;=15,"Crítico",IF(H30&gt;=8,"Alto","Medio/bajo"))</f>
        <v>Alto</v>
      </c>
      <c r="J30" s="4" t="s">
        <v>166</v>
      </c>
      <c r="K30" s="4" t="s">
        <v>167</v>
      </c>
      <c r="L30" s="4" t="s">
        <v>70</v>
      </c>
    </row>
    <row r="31" customFormat="false" ht="28.35" hidden="false" customHeight="false" outlineLevel="0" collapsed="false">
      <c r="A31" s="4" t="s">
        <v>168</v>
      </c>
      <c r="B31" s="4" t="s">
        <v>162</v>
      </c>
      <c r="C31" s="4" t="s">
        <v>163</v>
      </c>
      <c r="D31" s="4" t="s">
        <v>169</v>
      </c>
      <c r="E31" s="4" t="s">
        <v>170</v>
      </c>
      <c r="F31" s="5" t="n">
        <v>3</v>
      </c>
      <c r="G31" s="5" t="n">
        <v>3</v>
      </c>
      <c r="H31" s="6" t="n">
        <f aca="false">F31*G31</f>
        <v>9</v>
      </c>
      <c r="I31" s="7" t="str">
        <f aca="false">IF(H31&gt;=15,"Crítico",IF(H31&gt;=8,"Alto","Medio/bajo"))</f>
        <v>Alto</v>
      </c>
      <c r="J31" s="4" t="s">
        <v>166</v>
      </c>
      <c r="K31" s="4" t="s">
        <v>171</v>
      </c>
      <c r="L31" s="4" t="s">
        <v>172</v>
      </c>
    </row>
    <row r="32" customFormat="false" ht="15" hidden="false" customHeight="false" outlineLevel="0" collapsed="false">
      <c r="A32" s="4" t="s">
        <v>173</v>
      </c>
      <c r="B32" s="4" t="s">
        <v>174</v>
      </c>
      <c r="C32" s="4" t="s">
        <v>16</v>
      </c>
      <c r="D32" s="4" t="s">
        <v>175</v>
      </c>
      <c r="E32" s="4" t="s">
        <v>176</v>
      </c>
      <c r="F32" s="5" t="n">
        <v>3</v>
      </c>
      <c r="G32" s="5" t="n">
        <v>3</v>
      </c>
      <c r="H32" s="6" t="n">
        <f aca="false">F32*G32</f>
        <v>9</v>
      </c>
      <c r="I32" s="7" t="str">
        <f aca="false">IF(H32&gt;=15,"Crítico",IF(H32&gt;=8,"Alto","Medio/bajo"))</f>
        <v>Alto</v>
      </c>
      <c r="J32" s="4" t="s">
        <v>50</v>
      </c>
      <c r="K32" s="4" t="s">
        <v>177</v>
      </c>
      <c r="L32" s="4" t="s">
        <v>117</v>
      </c>
    </row>
    <row r="33" customFormat="false" ht="28.35" hidden="false" customHeight="false" outlineLevel="0" collapsed="false">
      <c r="A33" s="4" t="s">
        <v>178</v>
      </c>
      <c r="B33" s="4" t="s">
        <v>179</v>
      </c>
      <c r="C33" s="4" t="s">
        <v>60</v>
      </c>
      <c r="D33" s="4" t="s">
        <v>180</v>
      </c>
      <c r="E33" s="4" t="s">
        <v>181</v>
      </c>
      <c r="F33" s="5" t="n">
        <v>2</v>
      </c>
      <c r="G33" s="5" t="n">
        <v>4</v>
      </c>
      <c r="H33" s="6" t="n">
        <f aca="false">F33*G33</f>
        <v>8</v>
      </c>
      <c r="I33" s="7" t="str">
        <f aca="false">IF(H33&gt;=15,"Crítico",IF(H33&gt;=8,"Alto","Medio/bajo"))</f>
        <v>Alto</v>
      </c>
      <c r="J33" s="4" t="s">
        <v>50</v>
      </c>
      <c r="K33" s="4" t="s">
        <v>182</v>
      </c>
      <c r="L33" s="4" t="s">
        <v>183</v>
      </c>
    </row>
    <row r="34" customFormat="false" ht="28.35" hidden="false" customHeight="false" outlineLevel="0" collapsed="false">
      <c r="A34" s="4" t="s">
        <v>184</v>
      </c>
      <c r="B34" s="4" t="s">
        <v>185</v>
      </c>
      <c r="C34" s="4" t="s">
        <v>16</v>
      </c>
      <c r="D34" s="4" t="s">
        <v>186</v>
      </c>
      <c r="E34" s="4" t="s">
        <v>187</v>
      </c>
      <c r="F34" s="5" t="n">
        <v>4</v>
      </c>
      <c r="G34" s="5" t="n">
        <v>4</v>
      </c>
      <c r="H34" s="6" t="n">
        <f aca="false">F34*G34</f>
        <v>16</v>
      </c>
      <c r="I34" s="7" t="str">
        <f aca="false">IF(H34&gt;=15,"Crítico",IF(H34&gt;=8,"Alto","Medio/bajo"))</f>
        <v>Crítico</v>
      </c>
      <c r="J34" s="4" t="s">
        <v>50</v>
      </c>
      <c r="K34" s="4" t="s">
        <v>188</v>
      </c>
      <c r="L34" s="4" t="s">
        <v>117</v>
      </c>
    </row>
    <row r="35" customFormat="false" ht="28.35" hidden="false" customHeight="false" outlineLevel="0" collapsed="false">
      <c r="A35" s="4" t="s">
        <v>189</v>
      </c>
      <c r="B35" s="4" t="s">
        <v>190</v>
      </c>
      <c r="C35" s="4" t="s">
        <v>163</v>
      </c>
      <c r="D35" s="4" t="s">
        <v>191</v>
      </c>
      <c r="E35" s="4" t="s">
        <v>192</v>
      </c>
      <c r="F35" s="5" t="n">
        <v>3</v>
      </c>
      <c r="G35" s="5" t="n">
        <v>3</v>
      </c>
      <c r="H35" s="6" t="n">
        <f aca="false">F35*G35</f>
        <v>9</v>
      </c>
      <c r="I35" s="7" t="str">
        <f aca="false">IF(H35&gt;=15,"Crítico",IF(H35&gt;=8,"Alto","Medio/bajo"))</f>
        <v>Alto</v>
      </c>
      <c r="J35" s="4" t="s">
        <v>50</v>
      </c>
      <c r="K35" s="4" t="s">
        <v>193</v>
      </c>
      <c r="L35" s="4" t="s">
        <v>134</v>
      </c>
    </row>
    <row r="37" customFormat="false" ht="15" hidden="false" customHeight="false" outlineLevel="0" collapsed="false">
      <c r="D37" s="8" t="s">
        <v>194</v>
      </c>
      <c r="H37" s="9" t="n">
        <f aca="false">COUNTIF(I5:I35,"Crítico")</f>
        <v>10</v>
      </c>
    </row>
  </sheetData>
  <conditionalFormatting sqref="I5:I35">
    <cfRule type="cellIs" priority="2" operator="equal" aboveAverage="0" equalAverage="0" bottom="0" percent="0" rank="0" text="" dxfId="0">
      <formula>"Crítico"</formula>
    </cfRule>
  </conditionalFormatting>
  <conditionalFormatting sqref="H5:H35">
    <cfRule type="colorScale" priority="3">
      <colorScale>
        <cfvo type="num" val="1"/>
        <cfvo type="num" val="10"/>
        <cfvo type="num" val="25"/>
        <color rgb="FFD4EDDA"/>
        <color rgb="FFFFF3CD"/>
        <color rgb="FFF8D7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0"/>
    <col collapsed="false" customWidth="true" hidden="false" outlineLevel="0" max="4" min="4" style="0" width="30"/>
    <col collapsed="false" customWidth="true" hidden="false" outlineLevel="0" max="5" min="5" style="0" width="24"/>
  </cols>
  <sheetData>
    <row r="1" customFormat="false" ht="19.7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15" hidden="false" customHeight="false" outlineLevel="0" collapsed="false">
      <c r="A4" s="3" t="s">
        <v>197</v>
      </c>
      <c r="B4" s="3" t="s">
        <v>198</v>
      </c>
      <c r="C4" s="3" t="s">
        <v>199</v>
      </c>
      <c r="D4" s="3" t="s">
        <v>200</v>
      </c>
      <c r="E4" s="3" t="s">
        <v>201</v>
      </c>
    </row>
    <row r="5" customFormat="false" ht="15" hidden="false" customHeight="false" outlineLevel="0" collapsed="false">
      <c r="A5" s="7" t="s">
        <v>202</v>
      </c>
      <c r="B5" s="7" t="s">
        <v>203</v>
      </c>
      <c r="C5" s="7" t="s">
        <v>204</v>
      </c>
      <c r="D5" s="7" t="s">
        <v>205</v>
      </c>
      <c r="E5" s="7" t="s">
        <v>206</v>
      </c>
    </row>
    <row r="6" customFormat="false" ht="15" hidden="false" customHeight="false" outlineLevel="0" collapsed="false">
      <c r="A6" s="7" t="s">
        <v>202</v>
      </c>
      <c r="B6" s="7" t="s">
        <v>207</v>
      </c>
      <c r="C6" s="7" t="s">
        <v>208</v>
      </c>
      <c r="D6" s="7" t="s">
        <v>209</v>
      </c>
      <c r="E6" s="7" t="s">
        <v>210</v>
      </c>
    </row>
    <row r="7" customFormat="false" ht="23.85" hidden="false" customHeight="false" outlineLevel="0" collapsed="false">
      <c r="A7" s="7" t="s">
        <v>202</v>
      </c>
      <c r="B7" s="7" t="s">
        <v>211</v>
      </c>
      <c r="C7" s="7" t="s">
        <v>212</v>
      </c>
      <c r="D7" s="7" t="s">
        <v>213</v>
      </c>
      <c r="E7" s="7" t="s">
        <v>214</v>
      </c>
    </row>
    <row r="8" customFormat="false" ht="15" hidden="false" customHeight="false" outlineLevel="0" collapsed="false">
      <c r="A8" s="7" t="s">
        <v>202</v>
      </c>
      <c r="B8" s="7" t="s">
        <v>215</v>
      </c>
      <c r="C8" s="7" t="s">
        <v>216</v>
      </c>
      <c r="D8" s="7" t="s">
        <v>217</v>
      </c>
      <c r="E8" s="7" t="s">
        <v>218</v>
      </c>
    </row>
    <row r="9" customFormat="false" ht="15" hidden="false" customHeight="false" outlineLevel="0" collapsed="false">
      <c r="A9" s="7" t="s">
        <v>202</v>
      </c>
      <c r="B9" s="7" t="s">
        <v>219</v>
      </c>
      <c r="C9" s="7" t="s">
        <v>220</v>
      </c>
      <c r="D9" s="7" t="s">
        <v>221</v>
      </c>
      <c r="E9" s="7" t="s">
        <v>222</v>
      </c>
    </row>
    <row r="10" customFormat="false" ht="15" hidden="false" customHeight="false" outlineLevel="0" collapsed="false">
      <c r="A10" s="7" t="s">
        <v>202</v>
      </c>
      <c r="B10" s="7" t="s">
        <v>223</v>
      </c>
      <c r="C10" s="7" t="s">
        <v>224</v>
      </c>
      <c r="D10" s="7" t="s">
        <v>225</v>
      </c>
      <c r="E10" s="7" t="s">
        <v>134</v>
      </c>
    </row>
    <row r="11" customFormat="false" ht="23.85" hidden="false" customHeight="false" outlineLevel="0" collapsed="false">
      <c r="A11" s="7" t="s">
        <v>226</v>
      </c>
      <c r="B11" s="7" t="s">
        <v>227</v>
      </c>
      <c r="C11" s="7" t="s">
        <v>228</v>
      </c>
      <c r="D11" s="7" t="s">
        <v>229</v>
      </c>
      <c r="E11" s="7" t="s">
        <v>81</v>
      </c>
    </row>
    <row r="12" customFormat="false" ht="15" hidden="false" customHeight="false" outlineLevel="0" collapsed="false">
      <c r="A12" s="7" t="s">
        <v>226</v>
      </c>
      <c r="B12" s="7" t="s">
        <v>230</v>
      </c>
      <c r="C12" s="7" t="s">
        <v>231</v>
      </c>
      <c r="D12" s="7" t="s">
        <v>232</v>
      </c>
      <c r="E12" s="7" t="s">
        <v>233</v>
      </c>
    </row>
    <row r="13" customFormat="false" ht="15" hidden="false" customHeight="false" outlineLevel="0" collapsed="false">
      <c r="A13" s="7" t="s">
        <v>226</v>
      </c>
      <c r="B13" s="7" t="s">
        <v>234</v>
      </c>
      <c r="C13" s="7" t="s">
        <v>235</v>
      </c>
      <c r="D13" s="7" t="s">
        <v>236</v>
      </c>
      <c r="E13" s="7" t="s">
        <v>237</v>
      </c>
    </row>
    <row r="14" customFormat="false" ht="23.85" hidden="false" customHeight="false" outlineLevel="0" collapsed="false">
      <c r="A14" s="7" t="s">
        <v>226</v>
      </c>
      <c r="B14" s="7" t="s">
        <v>238</v>
      </c>
      <c r="C14" s="7" t="s">
        <v>239</v>
      </c>
      <c r="D14" s="7" t="s">
        <v>240</v>
      </c>
      <c r="E14" s="7" t="s">
        <v>134</v>
      </c>
    </row>
    <row r="15" customFormat="false" ht="15" hidden="false" customHeight="false" outlineLevel="0" collapsed="false">
      <c r="A15" s="7" t="s">
        <v>226</v>
      </c>
      <c r="B15" s="7" t="s">
        <v>241</v>
      </c>
      <c r="C15" s="7" t="s">
        <v>242</v>
      </c>
      <c r="D15" s="7" t="s">
        <v>243</v>
      </c>
      <c r="E15" s="7" t="s">
        <v>244</v>
      </c>
    </row>
    <row r="16" customFormat="false" ht="15" hidden="false" customHeight="false" outlineLevel="0" collapsed="false">
      <c r="A16" s="7" t="s">
        <v>226</v>
      </c>
      <c r="B16" s="7" t="s">
        <v>245</v>
      </c>
      <c r="C16" s="7" t="s">
        <v>246</v>
      </c>
      <c r="D16" s="7" t="s">
        <v>247</v>
      </c>
      <c r="E16" s="7" t="s">
        <v>128</v>
      </c>
    </row>
    <row r="17" customFormat="false" ht="15" hidden="false" customHeight="false" outlineLevel="0" collapsed="false">
      <c r="A17" s="7" t="s">
        <v>248</v>
      </c>
      <c r="B17" s="7" t="s">
        <v>249</v>
      </c>
      <c r="C17" s="7" t="s">
        <v>250</v>
      </c>
      <c r="D17" s="7" t="s">
        <v>251</v>
      </c>
      <c r="E17" s="7" t="s">
        <v>252</v>
      </c>
    </row>
    <row r="18" customFormat="false" ht="15" hidden="false" customHeight="false" outlineLevel="0" collapsed="false">
      <c r="A18" s="7" t="s">
        <v>248</v>
      </c>
      <c r="B18" s="7" t="s">
        <v>253</v>
      </c>
      <c r="C18" s="7" t="s">
        <v>254</v>
      </c>
      <c r="D18" s="7" t="s">
        <v>255</v>
      </c>
      <c r="E18" s="7" t="s">
        <v>134</v>
      </c>
    </row>
    <row r="19" customFormat="false" ht="15" hidden="false" customHeight="false" outlineLevel="0" collapsed="false">
      <c r="A19" s="7" t="s">
        <v>248</v>
      </c>
      <c r="B19" s="7" t="s">
        <v>256</v>
      </c>
      <c r="C19" s="7" t="s">
        <v>257</v>
      </c>
      <c r="D19" s="7" t="s">
        <v>258</v>
      </c>
      <c r="E19" s="7" t="s">
        <v>259</v>
      </c>
    </row>
    <row r="20" customFormat="false" ht="15" hidden="false" customHeight="false" outlineLevel="0" collapsed="false">
      <c r="A20" s="7" t="s">
        <v>248</v>
      </c>
      <c r="B20" s="7" t="s">
        <v>260</v>
      </c>
      <c r="C20" s="7" t="s">
        <v>261</v>
      </c>
      <c r="D20" s="7" t="s">
        <v>262</v>
      </c>
      <c r="E20" s="7" t="s">
        <v>263</v>
      </c>
    </row>
    <row r="21" customFormat="false" ht="23.85" hidden="false" customHeight="false" outlineLevel="0" collapsed="false">
      <c r="A21" s="7" t="s">
        <v>248</v>
      </c>
      <c r="B21" s="7" t="s">
        <v>264</v>
      </c>
      <c r="C21" s="7" t="s">
        <v>265</v>
      </c>
      <c r="D21" s="7" t="s">
        <v>266</v>
      </c>
      <c r="E21" s="7" t="s">
        <v>267</v>
      </c>
    </row>
    <row r="22" customFormat="false" ht="15" hidden="false" customHeight="false" outlineLevel="0" collapsed="false">
      <c r="A22" s="7" t="s">
        <v>248</v>
      </c>
      <c r="B22" s="7" t="s">
        <v>268</v>
      </c>
      <c r="C22" s="7" t="s">
        <v>269</v>
      </c>
      <c r="D22" s="7" t="s">
        <v>270</v>
      </c>
      <c r="E22" s="7" t="s">
        <v>271</v>
      </c>
    </row>
    <row r="23" customFormat="false" ht="15" hidden="false" customHeight="false" outlineLevel="0" collapsed="false">
      <c r="A23" s="7" t="s">
        <v>248</v>
      </c>
      <c r="B23" s="7" t="s">
        <v>272</v>
      </c>
      <c r="C23" s="7" t="s">
        <v>273</v>
      </c>
      <c r="D23" s="7" t="s">
        <v>274</v>
      </c>
      <c r="E23" s="7" t="s">
        <v>134</v>
      </c>
    </row>
    <row r="24" customFormat="false" ht="15" hidden="false" customHeight="false" outlineLevel="0" collapsed="false">
      <c r="A24" s="7" t="s">
        <v>275</v>
      </c>
      <c r="B24" s="7" t="s">
        <v>276</v>
      </c>
      <c r="C24" s="7" t="s">
        <v>277</v>
      </c>
      <c r="D24" s="7" t="s">
        <v>278</v>
      </c>
      <c r="E24" s="7" t="s">
        <v>70</v>
      </c>
    </row>
    <row r="25" customFormat="false" ht="15" hidden="false" customHeight="false" outlineLevel="0" collapsed="false">
      <c r="A25" s="7" t="s">
        <v>279</v>
      </c>
      <c r="B25" s="7" t="s">
        <v>280</v>
      </c>
      <c r="C25" s="7" t="s">
        <v>281</v>
      </c>
      <c r="D25" s="7" t="s">
        <v>282</v>
      </c>
      <c r="E25" s="7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2026-10-10T19:38:30Z</dcterms:created>
  <dc:creator>openpyxl</dc:creator>
  <dc:description/>
  <dc:language>en-US</dc:language>
  <cp:lastModifiedBy/>
  <dcterms:modified xsi:type="dcterms:W3CDTF">2026-10-10T19:38:30Z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