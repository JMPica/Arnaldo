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 180 días" sheetId="1" state="visible" r:id="rId3"/>
    <sheet name="Vistas 30-60-90-18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<sst xmlns="http://schemas.openxmlformats.org/spreadsheetml/2006/main" count="379" uniqueCount="230">
  <si>
    <t xml:space="preserve">Plan de ejecución de 180 días (26 semanas) — Proyecto A con vía B3 en validación</t>
  </si>
  <si>
    <t xml:space="preserve">Semana 1 = semana de aprobación de la Fase 0 por el promotor. 'Bloqueada' = depende de tercero o de un Go previo. Costes = HIPÓTESIS.</t>
  </si>
  <si>
    <t xml:space="preserve">ID</t>
  </si>
  <si>
    <t xml:space="preserve">Fase</t>
  </si>
  <si>
    <t xml:space="preserve">Tarea</t>
  </si>
  <si>
    <t xml:space="preserve">Responsable</t>
  </si>
  <si>
    <t xml:space="preserve">Depende de</t>
  </si>
  <si>
    <t xml:space="preserve">Inicio (sem)</t>
  </si>
  <si>
    <t xml:space="preserve">Duración (sem)</t>
  </si>
  <si>
    <t xml:space="preserve">Fin (sem)</t>
  </si>
  <si>
    <t xml:space="preserve">Coste est. (€)</t>
  </si>
  <si>
    <t xml:space="preserve">Riesgo</t>
  </si>
  <si>
    <t xml:space="preserve">KPI / evidencia de finalización</t>
  </si>
  <si>
    <t xml:space="preserve">Criterio Go/No-Go</t>
  </si>
  <si>
    <t xml:space="preserve">Estado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</si>
  <si>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</si>
  <si>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</si>
  <si>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</si>
  <si>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</si>
  <si>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</si>
  <si>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</si>
  <si>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</si>
  <si>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</si>
  <si>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</si>
  <si>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</si>
  <si>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</si>
  <si>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</si>
  <si>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</si>
  <si>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</si>
  <si>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</si>
  <si>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</si>
  <si>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</si>
  <si>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</si>
  <si>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</si>
  <si>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</si>
  <si>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</si>
  <si>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</si>
  <si>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</si>
  <si>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</si>
  <si>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</si>
  <si>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</si>
  <si>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0.1</t>
  </si>
  <si>
    <t xml:space="preserve">F0 Viabilidad Cuba</t>
  </si>
  <si>
    <t xml:space="preserve">Contratar abogado cubano autorizado (bufete habilitado para extranjeros) y abogado español de comercio exterior</t>
  </si>
  <si>
    <t xml:space="preserve">Promotor</t>
  </si>
  <si>
    <t xml:space="preserve">D01</t>
  </si>
  <si>
    <t xml:space="preserve">Medio</t>
  </si>
  <si>
    <t xml:space="preserve">Cartas de encargo firmadas</t>
  </si>
  <si>
    <t xml:space="preserve">—</t>
  </si>
  <si>
    <t xml:space="preserve">Ejecutable ahora</t>
  </si>
  <si>
    <t xml:space="preserve">0.2</t>
  </si>
  <si>
    <t xml:space="preserve">Obtener del torcedor la identidad completa de la empresa fabricante/exportadora (Cuestionario torcedor)</t>
  </si>
  <si>
    <t xml:space="preserve">Alto</t>
  </si>
  <si>
    <t xml:space="preserve">Razón social, NIT, objeto social, contacto oficial</t>
  </si>
  <si>
    <t xml:space="preserve">Sin identidad verificable → NO-GO</t>
  </si>
  <si>
    <t xml:space="preserve">0.3</t>
  </si>
  <si>
    <t xml:space="preserve">Enviar 'Solicitud de confirmación de capacidad legal de exportación' a la empresa y, en su caso, a Habanos S.A.</t>
  </si>
  <si>
    <t xml:space="preserve">Abogado cubano</t>
  </si>
  <si>
    <t xml:space="preserve">0.1, 0.2</t>
  </si>
  <si>
    <t xml:space="preserve">Respuesta escrita</t>
  </si>
  <si>
    <t xml:space="preserve">Negativa o silencio &gt; 8 semanas → NO-GO A</t>
  </si>
  <si>
    <t xml:space="preserve">Bloqueada</t>
  </si>
  <si>
    <t xml:space="preserve">0.4</t>
  </si>
  <si>
    <t xml:space="preserve">Due diligence documental de la fábrica (Cuestionario DD) y verificación en Gaceta Oficial de licencias</t>
  </si>
  <si>
    <t xml:space="preserve">Informe jurídico Cuba</t>
  </si>
  <si>
    <t xml:space="preserve">Condiciones C1 y C2</t>
  </si>
  <si>
    <t xml:space="preserve">0.5</t>
  </si>
  <si>
    <t xml:space="preserve">Consulta a MINCEX sobre si un operador privado o cooperativa puede exportar tabaco torcido tras DL 133/2026 y Res. MINCEX 2026</t>
  </si>
  <si>
    <t xml:space="preserve">Respuesta / dictamen</t>
  </si>
  <si>
    <t xml:space="preserve">Confirma o descarta vías alternativas</t>
  </si>
  <si>
    <t xml:space="preserve">0.6</t>
  </si>
  <si>
    <t xml:space="preserve">Dictamen sobre propiedad de la marca y uso de 'Hecho en Cuba' / DO Habanos</t>
  </si>
  <si>
    <t xml:space="preserve">Abogado cubano + agente marcas</t>
  </si>
  <si>
    <t xml:space="preserve">Dictamen escrito</t>
  </si>
  <si>
    <t xml:space="preserve">Condición C2</t>
  </si>
  <si>
    <t xml:space="preserve">0.9</t>
  </si>
  <si>
    <t xml:space="preserve">Arnaldo: consentimiento escrito al uso de su nombre/firma, autorización de su empleador, firmas escaneadas y retrato opcional</t>
  </si>
  <si>
    <t xml:space="preserve">Promotor + abogado cubano</t>
  </si>
  <si>
    <t xml:space="preserve">Consentimiento firmado + materiales</t>
  </si>
  <si>
    <t xml:space="preserve">Sin consentimiento → usar reserva FOLIO</t>
  </si>
  <si>
    <t xml:space="preserve">2.6</t>
  </si>
  <si>
    <t xml:space="preserve">F2 Marca y producto</t>
  </si>
  <si>
    <t xml:space="preserve">Brief creativo a 3 estudios de packaging premium y selección</t>
  </si>
  <si>
    <t xml:space="preserve">3 presupuestos</t>
  </si>
  <si>
    <t xml:space="preserve">Encargo ≤ 15 k€</t>
  </si>
  <si>
    <t xml:space="preserve">0.7</t>
  </si>
  <si>
    <t xml:space="preserve">Rechazo formal de la oferta Behike 56 (plantilla en 08_COMMUNICATIONS)</t>
  </si>
  <si>
    <t xml:space="preserve">Correo enviado/archivado</t>
  </si>
  <si>
    <t xml:space="preserve">Ejecutable ahora (requiere aprobación)</t>
  </si>
  <si>
    <t xml:space="preserve">0.8</t>
  </si>
  <si>
    <t xml:space="preserve">Comité de decisión Fase 0</t>
  </si>
  <si>
    <t xml:space="preserve">0.3–0.6</t>
  </si>
  <si>
    <t xml:space="preserve">Acta con decisión</t>
  </si>
  <si>
    <t xml:space="preserve">Go si C1+C2; si no, activar plan alternativo</t>
  </si>
  <si>
    <t xml:space="preserve">1.1</t>
  </si>
  <si>
    <t xml:space="preserve">F1 España y estructura</t>
  </si>
  <si>
    <t xml:space="preserve">Dictamen fiscal España–Andorra (residencia, dirección efectiva, retribución)</t>
  </si>
  <si>
    <t xml:space="preserve">Asesor fiscal</t>
  </si>
  <si>
    <t xml:space="preserve">D06</t>
  </si>
  <si>
    <t xml:space="preserve">Dictamen</t>
  </si>
  <si>
    <t xml:space="preserve">Estructura elegida</t>
  </si>
  <si>
    <t xml:space="preserve">1.2</t>
  </si>
  <si>
    <t xml:space="preserve">Verificar con CMT requisitos de habilitación como fabricante/titular de marca y como importador</t>
  </si>
  <si>
    <t xml:space="preserve">Asesor regulatorio</t>
  </si>
  <si>
    <t xml:space="preserve">Bajo</t>
  </si>
  <si>
    <t xml:space="preserve">Correo/consulta del CMT</t>
  </si>
  <si>
    <t xml:space="preserve">1.3</t>
  </si>
  <si>
    <t xml:space="preserve">Confirmar TARIC 2402 10 00 (arancel, medidas Cuba) y EORI</t>
  </si>
  <si>
    <t xml:space="preserve">Agente de aduanas</t>
  </si>
  <si>
    <t xml:space="preserve">Extracto TARIC</t>
  </si>
  <si>
    <t xml:space="preserve">1.4</t>
  </si>
  <si>
    <t xml:space="preserve">Verificar margen expendedor vigente (texto consolidado Ley 13/1998) y precio BOE</t>
  </si>
  <si>
    <t xml:space="preserve">Extracto BOE</t>
  </si>
  <si>
    <t xml:space="preserve">1.5</t>
  </si>
  <si>
    <t xml:space="preserve">Consulta bancaria: viabilidad de pagos a Cuba (transferencia / carta de crédito)</t>
  </si>
  <si>
    <t xml:space="preserve">Respuesta del banco</t>
  </si>
  <si>
    <t xml:space="preserve">Condición C4</t>
  </si>
  <si>
    <t xml:space="preserve">1.6</t>
  </si>
  <si>
    <t xml:space="preserve">Constituir SL (sólo tras Go Fase 0)</t>
  </si>
  <si>
    <t xml:space="preserve">Gestoría</t>
  </si>
  <si>
    <t xml:space="preserve">0.8, 1.1</t>
  </si>
  <si>
    <t xml:space="preserve">Escritura + NIF</t>
  </si>
  <si>
    <t xml:space="preserve">2.1</t>
  </si>
  <si>
    <t xml:space="preserve">Encargar informe de registrabilidad ARNALDO (+ apellido y firma) y reservas FOLIO / LUMBRE (EUIPO, OEPM, OCPI)</t>
  </si>
  <si>
    <t xml:space="preserve">Agente de marcas</t>
  </si>
  <si>
    <t xml:space="preserve">D08</t>
  </si>
  <si>
    <t xml:space="preserve">Informe</t>
  </si>
  <si>
    <t xml:space="preserve">Condición C7</t>
  </si>
  <si>
    <t xml:space="preserve">2.2</t>
  </si>
  <si>
    <t xml:space="preserve">Solicitud de marca UE clase 34 (y 35 si procede)</t>
  </si>
  <si>
    <t xml:space="preserve">Nº de solicitud</t>
  </si>
  <si>
    <t xml:space="preserve">Ejecutable tras 2.1</t>
  </si>
  <si>
    <t xml:space="preserve">2.3</t>
  </si>
  <si>
    <t xml:space="preserve">Ficha técnica con torcedor y fábrica (plantilla 01_BRAND)</t>
  </si>
  <si>
    <t xml:space="preserve">Torcedor + fábrica</t>
  </si>
  <si>
    <t xml:space="preserve">Ficha completa firmada</t>
  </si>
  <si>
    <t xml:space="preserve">Datos completos</t>
  </si>
  <si>
    <t xml:space="preserve">2.4</t>
  </si>
  <si>
    <t xml:space="preserve">Prototipos (3 ligas × 20 u) y cata ciega</t>
  </si>
  <si>
    <t xml:space="preserve">Fábrica</t>
  </si>
  <si>
    <t xml:space="preserve">Fichas de cata</t>
  </si>
  <si>
    <t xml:space="preserve">Puntuación ≥ umbral</t>
  </si>
  <si>
    <t xml:space="preserve">2.5</t>
  </si>
  <si>
    <t xml:space="preserve">Diseño profesional (Ruta A v2 con la firma real) y artes finales de anilla, caja y colofón con advertencias sanitarias; encargo de 4.000–15.000 €, se presupuesta el mínimo</t>
  </si>
  <si>
    <t xml:space="preserve">Diseñador</t>
  </si>
  <si>
    <t xml:space="preserve">0.8, 2.1, 2.6</t>
  </si>
  <si>
    <t xml:space="preserve">Artes aprobadas por asesor regulatorio</t>
  </si>
  <si>
    <t xml:space="preserve">Conformidad RD 579/2017</t>
  </si>
  <si>
    <t xml:space="preserve">Bloqueada (tras el Go de la Fase 0)</t>
  </si>
  <si>
    <t xml:space="preserve">3.1</t>
  </si>
  <si>
    <t xml:space="preserve">F3 Propuestas y contratación</t>
  </si>
  <si>
    <t xml:space="preserve">Solicitud de cotización FOB formal</t>
  </si>
  <si>
    <t xml:space="preserve">Oferta firmada</t>
  </si>
  <si>
    <t xml:space="preserve">Condición C3</t>
  </si>
  <si>
    <t xml:space="preserve">3.2</t>
  </si>
  <si>
    <t xml:space="preserve">Negociar term sheet no vinculante</t>
  </si>
  <si>
    <t xml:space="preserve">Abogados</t>
  </si>
  <si>
    <t xml:space="preserve">Term sheet firmado</t>
  </si>
  <si>
    <t xml:space="preserve">Cláusulas PI aceptadas</t>
  </si>
  <si>
    <t xml:space="preserve">3.3</t>
  </si>
  <si>
    <t xml:space="preserve">Contrato de fabricación y suministro</t>
  </si>
  <si>
    <t xml:space="preserve">Contrato firmado</t>
  </si>
  <si>
    <t xml:space="preserve">4.1</t>
  </si>
  <si>
    <t xml:space="preserve">F4 Regulatorio y logística</t>
  </si>
  <si>
    <t xml:space="preserve">Habilitación como fabricante/titular ante CMT</t>
  </si>
  <si>
    <t xml:space="preserve">Resolución CMT</t>
  </si>
  <si>
    <t xml:space="preserve">4.2</t>
  </si>
  <si>
    <t xml:space="preserve">Notificación EU-CEG de ingredientes (antes de comercializar)</t>
  </si>
  <si>
    <t xml:space="preserve">2.3, 4.1</t>
  </si>
  <si>
    <t xml:space="preserve">Acuse EU-CEG</t>
  </si>
  <si>
    <t xml:space="preserve">4.3</t>
  </si>
  <si>
    <t xml:space="preserve">Alta en trazabilidad (códigos operador/instalación) y marcas fiscales</t>
  </si>
  <si>
    <t xml:space="preserve">Códigos asignados</t>
  </si>
  <si>
    <t xml:space="preserve">4.4</t>
  </si>
  <si>
    <t xml:space="preserve">Contrato con transitario y agente de aduanas; seguro de mercancía</t>
  </si>
  <si>
    <t xml:space="preserve">Ofertas firmadas</t>
  </si>
  <si>
    <t xml:space="preserve">4.5</t>
  </si>
  <si>
    <t xml:space="preserve">Solicitud de publicación del PVP en BOE</t>
  </si>
  <si>
    <t xml:space="preserve">Resolución en BOE</t>
  </si>
  <si>
    <t xml:space="preserve">Sin PVP publicado no hay venta</t>
  </si>
  <si>
    <t xml:space="preserve">5.1</t>
  </si>
  <si>
    <t xml:space="preserve">F5 Comercial B2B</t>
  </si>
  <si>
    <t xml:space="preserve">Lista de 40 expendedurías especialistas y entrevistas profesionales</t>
  </si>
  <si>
    <t xml:space="preserve">40 contactos, 15 entrevistas</t>
  </si>
  <si>
    <t xml:space="preserve">5.2</t>
  </si>
  <si>
    <t xml:space="preserve">Cartas de interés de ≥10 expendedurías</t>
  </si>
  <si>
    <t xml:space="preserve">5.1, 2.4</t>
  </si>
  <si>
    <t xml:space="preserve">≥10 cartas</t>
  </si>
  <si>
    <t xml:space="preserve">Condición C6</t>
  </si>
  <si>
    <t xml:space="preserve">5.3</t>
  </si>
  <si>
    <t xml:space="preserve">Acuerdo con distribuidor mayorista habilitado</t>
  </si>
  <si>
    <t xml:space="preserve">Carta de intención / contrato</t>
  </si>
  <si>
    <t xml:space="preserve">Condición C5</t>
  </si>
  <si>
    <t xml:space="preserve">5.4</t>
  </si>
  <si>
    <t xml:space="preserve">Vía B3: identificar 10 fabricantes no cubanos sin distribución en España y pedir condiciones</t>
  </si>
  <si>
    <t xml:space="preserve">D07</t>
  </si>
  <si>
    <t xml:space="preserve">10 respuestas</t>
  </si>
  <si>
    <t xml:space="preserve">≥2 exclusivas posibles</t>
  </si>
  <si>
    <t xml:space="preserve">6.1</t>
  </si>
  <si>
    <t xml:space="preserve">F6 Primera operación</t>
  </si>
  <si>
    <t xml:space="preserve">Pedido piloto (≤1.000–3.000 u) sólo con C1–C8 cumplidas</t>
  </si>
  <si>
    <t xml:space="preserve">Todas</t>
  </si>
  <si>
    <t xml:space="preserve">Pedido y anticipo</t>
  </si>
  <si>
    <t xml:space="preserve">8/8 condiciones</t>
  </si>
  <si>
    <t xml:space="preserve">6.2</t>
  </si>
  <si>
    <t xml:space="preserve">Importación, control en destino, primeras ventas (fuera del horizonte de 180 días)</t>
  </si>
  <si>
    <t xml:space="preserve">Operador logístico</t>
  </si>
  <si>
    <t xml:space="preserve">DUA + PVP en BOE</t>
  </si>
  <si>
    <t xml:space="preserve">Coste total estimado</t>
  </si>
  <si>
    <t xml:space="preserve">Resumen por horizonte (calculado desde el plan)</t>
  </si>
  <si>
    <t xml:space="preserve">Horizonte</t>
  </si>
  <si>
    <t xml:space="preserve">Semana fin</t>
  </si>
  <si>
    <t xml:space="preserve">Tareas que terminan</t>
  </si>
  <si>
    <t xml:space="preserve">de ellas ejecutables ahora</t>
  </si>
  <si>
    <t xml:space="preserve">Bloqueadas</t>
  </si>
  <si>
    <t xml:space="preserve">Coste acumulado (€)</t>
  </si>
  <si>
    <t xml:space="preserve">30 días</t>
  </si>
  <si>
    <t xml:space="preserve">60 días</t>
  </si>
  <si>
    <t xml:space="preserve">90 días</t>
  </si>
  <si>
    <t xml:space="preserve">180 días</t>
  </si>
  <si>
    <t xml:space="preserve">Qué se hace en cada horizonte</t>
  </si>
  <si>
    <t xml:space="preserve">Contenido</t>
  </si>
  <si>
    <t xml:space="preserve">0–30 días</t>
  </si>
  <si>
    <t xml:space="preserve">Contratar abogados (0.1), identidad de la fábrica (0.2), rechazo Behike (0.7), dictamen fiscal arrancado (1.1), consultas CMT/TARIC/BOE (1.2–1.4), banco (1.5), informe de marcas (2.1), mapa de expendedurías y fabricantes B3 (5.1, 5.4).</t>
  </si>
  <si>
    <t xml:space="preserve">31–60 días</t>
  </si>
  <si>
    <t xml:space="preserve">Respuesta de capacidad legal (0.3), consulta MINCEX (0.5), DD documental en curso (0.4), solicitud EUIPO si informe favorable (2.2).</t>
  </si>
  <si>
    <t xml:space="preserve">61–90 días</t>
  </si>
  <si>
    <t xml:space="preserve">Dictamen de marca y DO (0.6), comité Fase 0 (0.8). Si NO-GO: activar vía B3 o marca en origen alternativo. Si GO: SL, cotización FOB, ficha técnica.</t>
  </si>
  <si>
    <t xml:space="preserve">91–180 días</t>
  </si>
  <si>
    <t xml:space="preserve">Prototipos y catas, term sheet y contrato, habilitaciones CMT, EU-CEG, trazabilidad, PVP en BOE, cartas de interés y distribuidor. Pedido piloto sólo con 8/8 condiciones.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</si>
</sst>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&quot; €&quot;;[RED]\-#,##0&quot; €&quot;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4E9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8"/>
      <color rgb="FFFFFFFF"/>
      <name val="Cambria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1"/>
      <color rgb="FF5A3E2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FFF8E1"/>
        <bgColor rgb="FFFFFFFF"/>
      </patternFill>
    </fill>
    <fill>
      <patternFill patternType="solid">
        <fgColor rgb="FFE2F0D9"/>
        <bgColor rgb="FFEFE7DA"/>
      </patternFill>
    </fill>
    <fill>
      <patternFill patternType="solid">
        <fgColor rgb="FFFADBD8"/>
        <bgColor rgb="FFEFE7DA"/>
      </patternFill>
    </fill>
    <fill>
      <patternFill patternType="solid">
        <fgColor rgb="FFEFE7DA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5A3E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FE7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39" min="14" style="0" width="3.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customFormat="false" ht="28.35" hidden="false" customHeight="false" outlineLevel="0" collapsed="false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5" t="n">
        <v>1</v>
      </c>
      <c r="G5" s="5" t="n">
        <v>2</v>
      </c>
      <c r="H5" s="6" t="n">
        <f aca="false">F5+G5-1</f>
        <v>2</v>
      </c>
      <c r="I5" s="7" t="n">
        <v>1500</v>
      </c>
      <c r="J5" s="4" t="s">
        <v>46</v>
      </c>
      <c r="K5" s="4" t="s">
        <v>47</v>
      </c>
      <c r="L5" s="4" t="s">
        <v>48</v>
      </c>
      <c r="M5" s="8" t="s">
        <v>49</v>
      </c>
      <c r="N5" s="9" t="n">
        <f aca="false">IF(AND(1&gt;=$F5,1&lt;=$H5),1,"")</f>
        <v>1</v>
      </c>
      <c r="O5" s="9" t="n">
        <f aca="false">IF(AND(2&gt;=$F5,2&lt;=$H5),1,"")</f>
        <v>1</v>
      </c>
      <c r="P5" s="9" t="str">
        <f aca="false">IF(AND(3&gt;=$F5,3&lt;=$H5),1,"")</f>
        <v/>
      </c>
      <c r="Q5" s="9" t="str">
        <f aca="false">IF(AND(4&gt;=$F5,4&lt;=$H5),1,"")</f>
        <v/>
      </c>
      <c r="R5" s="9" t="str">
        <f aca="false">IF(AND(5&gt;=$F5,5&lt;=$H5),1,"")</f>
        <v/>
      </c>
      <c r="S5" s="9" t="str">
        <f aca="false">IF(AND(6&gt;=$F5,6&lt;=$H5),1,"")</f>
        <v/>
      </c>
      <c r="T5" s="9" t="str">
        <f aca="false">IF(AND(7&gt;=$F5,7&lt;=$H5),1,"")</f>
        <v/>
      </c>
      <c r="U5" s="9" t="str">
        <f aca="false">IF(AND(8&gt;=$F5,8&lt;=$H5),1,"")</f>
        <v/>
      </c>
      <c r="V5" s="9" t="str">
        <f aca="false">IF(AND(9&gt;=$F5,9&lt;=$H5),1,"")</f>
        <v/>
      </c>
      <c r="W5" s="9" t="str">
        <f aca="false">IF(AND(10&gt;=$F5,10&lt;=$H5),1,"")</f>
        <v/>
      </c>
      <c r="X5" s="9" t="str">
        <f aca="false">IF(AND(11&gt;=$F5,11&lt;=$H5),1,"")</f>
        <v/>
      </c>
      <c r="Y5" s="9" t="str">
        <f aca="false">IF(AND(12&gt;=$F5,12&lt;=$H5),1,"")</f>
        <v/>
      </c>
      <c r="Z5" s="9" t="str">
        <f aca="false">IF(AND(13&gt;=$F5,13&lt;=$H5),1,"")</f>
        <v/>
      </c>
      <c r="AA5" s="9" t="str">
        <f aca="false">IF(AND(14&gt;=$F5,14&lt;=$H5),1,"")</f>
        <v/>
      </c>
      <c r="AB5" s="9" t="str">
        <f aca="false">IF(AND(15&gt;=$F5,15&lt;=$H5),1,"")</f>
        <v/>
      </c>
      <c r="AC5" s="9" t="str">
        <f aca="false">IF(AND(16&gt;=$F5,16&lt;=$H5),1,"")</f>
        <v/>
      </c>
      <c r="AD5" s="9" t="str">
        <f aca="false">IF(AND(17&gt;=$F5,17&lt;=$H5),1,"")</f>
        <v/>
      </c>
      <c r="AE5" s="9" t="str">
        <f aca="false">IF(AND(18&gt;=$F5,18&lt;=$H5),1,"")</f>
        <v/>
      </c>
      <c r="AF5" s="9" t="str">
        <f aca="false">IF(AND(19&gt;=$F5,19&lt;=$H5),1,"")</f>
        <v/>
      </c>
      <c r="AG5" s="9" t="str">
        <f aca="false">IF(AND(20&gt;=$F5,20&lt;=$H5),1,"")</f>
        <v/>
      </c>
      <c r="AH5" s="9" t="str">
        <f aca="false">IF(AND(21&gt;=$F5,21&lt;=$H5),1,"")</f>
        <v/>
      </c>
      <c r="AI5" s="9" t="str">
        <f aca="false">IF(AND(22&gt;=$F5,22&lt;=$H5),1,"")</f>
        <v/>
      </c>
      <c r="AJ5" s="9" t="str">
        <f aca="false">IF(AND(23&gt;=$F5,23&lt;=$H5),1,"")</f>
        <v/>
      </c>
      <c r="AK5" s="9" t="str">
        <f aca="false">IF(AND(24&gt;=$F5,24&lt;=$H5),1,"")</f>
        <v/>
      </c>
      <c r="AL5" s="9" t="str">
        <f aca="false">IF(AND(25&gt;=$F5,25&lt;=$H5),1,"")</f>
        <v/>
      </c>
      <c r="AM5" s="9" t="str">
        <f aca="false">IF(AND(26&gt;=$F5,26&lt;=$H5),1,"")</f>
        <v/>
      </c>
    </row>
    <row r="6" customFormat="false" ht="28.35" hidden="false" customHeight="false" outlineLevel="0" collapsed="false">
      <c r="A6" s="4" t="s">
        <v>50</v>
      </c>
      <c r="B6" s="4" t="s">
        <v>42</v>
      </c>
      <c r="C6" s="4" t="s">
        <v>51</v>
      </c>
      <c r="D6" s="4" t="s">
        <v>44</v>
      </c>
      <c r="E6" s="4" t="s">
        <v>48</v>
      </c>
      <c r="F6" s="5" t="n">
        <v>1</v>
      </c>
      <c r="G6" s="5" t="n">
        <v>2</v>
      </c>
      <c r="H6" s="6" t="n">
        <f aca="false">F6+G6-1</f>
        <v>2</v>
      </c>
      <c r="I6" s="7" t="n">
        <v>0</v>
      </c>
      <c r="J6" s="4" t="s">
        <v>52</v>
      </c>
      <c r="K6" s="4" t="s">
        <v>53</v>
      </c>
      <c r="L6" s="4" t="s">
        <v>54</v>
      </c>
      <c r="M6" s="8" t="s">
        <v>49</v>
      </c>
      <c r="N6" s="9" t="n">
        <f aca="false">IF(AND(1&gt;=$F6,1&lt;=$H6),1,"")</f>
        <v>1</v>
      </c>
      <c r="O6" s="9" t="n">
        <f aca="false">IF(AND(2&gt;=$F6,2&lt;=$H6),1,"")</f>
        <v>1</v>
      </c>
      <c r="P6" s="9" t="str">
        <f aca="false">IF(AND(3&gt;=$F6,3&lt;=$H6),1,"")</f>
        <v/>
      </c>
      <c r="Q6" s="9" t="str">
        <f aca="false">IF(AND(4&gt;=$F6,4&lt;=$H6),1,"")</f>
        <v/>
      </c>
      <c r="R6" s="9" t="str">
        <f aca="false">IF(AND(5&gt;=$F6,5&lt;=$H6),1,"")</f>
        <v/>
      </c>
      <c r="S6" s="9" t="str">
        <f aca="false">IF(AND(6&gt;=$F6,6&lt;=$H6),1,"")</f>
        <v/>
      </c>
      <c r="T6" s="9" t="str">
        <f aca="false">IF(AND(7&gt;=$F6,7&lt;=$H6),1,"")</f>
        <v/>
      </c>
      <c r="U6" s="9" t="str">
        <f aca="false">IF(AND(8&gt;=$F6,8&lt;=$H6),1,"")</f>
        <v/>
      </c>
      <c r="V6" s="9" t="str">
        <f aca="false">IF(AND(9&gt;=$F6,9&lt;=$H6),1,"")</f>
        <v/>
      </c>
      <c r="W6" s="9" t="str">
        <f aca="false">IF(AND(10&gt;=$F6,10&lt;=$H6),1,"")</f>
        <v/>
      </c>
      <c r="X6" s="9" t="str">
        <f aca="false">IF(AND(11&gt;=$F6,11&lt;=$H6),1,"")</f>
        <v/>
      </c>
      <c r="Y6" s="9" t="str">
        <f aca="false">IF(AND(12&gt;=$F6,12&lt;=$H6),1,"")</f>
        <v/>
      </c>
      <c r="Z6" s="9" t="str">
        <f aca="false">IF(AND(13&gt;=$F6,13&lt;=$H6),1,"")</f>
        <v/>
      </c>
      <c r="AA6" s="9" t="str">
        <f aca="false">IF(AND(14&gt;=$F6,14&lt;=$H6),1,"")</f>
        <v/>
      </c>
      <c r="AB6" s="9" t="str">
        <f aca="false">IF(AND(15&gt;=$F6,15&lt;=$H6),1,"")</f>
        <v/>
      </c>
      <c r="AC6" s="9" t="str">
        <f aca="false">IF(AND(16&gt;=$F6,16&lt;=$H6),1,"")</f>
        <v/>
      </c>
      <c r="AD6" s="9" t="str">
        <f aca="false">IF(AND(17&gt;=$F6,17&lt;=$H6),1,"")</f>
        <v/>
      </c>
      <c r="AE6" s="9" t="str">
        <f aca="false">IF(AND(18&gt;=$F6,18&lt;=$H6),1,"")</f>
        <v/>
      </c>
      <c r="AF6" s="9" t="str">
        <f aca="false">IF(AND(19&gt;=$F6,19&lt;=$H6),1,"")</f>
        <v/>
      </c>
      <c r="AG6" s="9" t="str">
        <f aca="false">IF(AND(20&gt;=$F6,20&lt;=$H6),1,"")</f>
        <v/>
      </c>
      <c r="AH6" s="9" t="str">
        <f aca="false">IF(AND(21&gt;=$F6,21&lt;=$H6),1,"")</f>
        <v/>
      </c>
      <c r="AI6" s="9" t="str">
        <f aca="false">IF(AND(22&gt;=$F6,22&lt;=$H6),1,"")</f>
        <v/>
      </c>
      <c r="AJ6" s="9" t="str">
        <f aca="false">IF(AND(23&gt;=$F6,23&lt;=$H6),1,"")</f>
        <v/>
      </c>
      <c r="AK6" s="9" t="str">
        <f aca="false">IF(AND(24&gt;=$F6,24&lt;=$H6),1,"")</f>
        <v/>
      </c>
      <c r="AL6" s="9" t="str">
        <f aca="false">IF(AND(25&gt;=$F6,25&lt;=$H6),1,"")</f>
        <v/>
      </c>
      <c r="AM6" s="9" t="str">
        <f aca="false">IF(AND(26&gt;=$F6,26&lt;=$H6),1,"")</f>
        <v/>
      </c>
    </row>
    <row r="7" customFormat="false" ht="28.35" hidden="false" customHeight="false" outlineLevel="0" collapsed="false">
      <c r="A7" s="4" t="s">
        <v>55</v>
      </c>
      <c r="B7" s="4" t="s">
        <v>42</v>
      </c>
      <c r="C7" s="4" t="s">
        <v>56</v>
      </c>
      <c r="D7" s="4" t="s">
        <v>57</v>
      </c>
      <c r="E7" s="4" t="s">
        <v>58</v>
      </c>
      <c r="F7" s="5" t="n">
        <v>3</v>
      </c>
      <c r="G7" s="5" t="n">
        <v>4</v>
      </c>
      <c r="H7" s="6" t="n">
        <f aca="false">F7+G7-1</f>
        <v>6</v>
      </c>
      <c r="I7" s="7" t="n">
        <v>0</v>
      </c>
      <c r="J7" s="4" t="s">
        <v>52</v>
      </c>
      <c r="K7" s="4" t="s">
        <v>59</v>
      </c>
      <c r="L7" s="4" t="s">
        <v>60</v>
      </c>
      <c r="M7" s="10" t="s">
        <v>61</v>
      </c>
      <c r="N7" s="9" t="str">
        <f aca="false">IF(AND(1&gt;=$F7,1&lt;=$H7),1,"")</f>
        <v/>
      </c>
      <c r="O7" s="9" t="str">
        <f aca="false">IF(AND(2&gt;=$F7,2&lt;=$H7),1,"")</f>
        <v/>
      </c>
      <c r="P7" s="9" t="n">
        <f aca="false">IF(AND(3&gt;=$F7,3&lt;=$H7),1,"")</f>
        <v>1</v>
      </c>
      <c r="Q7" s="9" t="n">
        <f aca="false">IF(AND(4&gt;=$F7,4&lt;=$H7),1,"")</f>
        <v>1</v>
      </c>
      <c r="R7" s="9" t="n">
        <f aca="false">IF(AND(5&gt;=$F7,5&lt;=$H7),1,"")</f>
        <v>1</v>
      </c>
      <c r="S7" s="9" t="n">
        <f aca="false">IF(AND(6&gt;=$F7,6&lt;=$H7),1,"")</f>
        <v>1</v>
      </c>
      <c r="T7" s="9" t="str">
        <f aca="false">IF(AND(7&gt;=$F7,7&lt;=$H7),1,"")</f>
        <v/>
      </c>
      <c r="U7" s="9" t="str">
        <f aca="false">IF(AND(8&gt;=$F7,8&lt;=$H7),1,"")</f>
        <v/>
      </c>
      <c r="V7" s="9" t="str">
        <f aca="false">IF(AND(9&gt;=$F7,9&lt;=$H7),1,"")</f>
        <v/>
      </c>
      <c r="W7" s="9" t="str">
        <f aca="false">IF(AND(10&gt;=$F7,10&lt;=$H7),1,"")</f>
        <v/>
      </c>
      <c r="X7" s="9" t="str">
        <f aca="false">IF(AND(11&gt;=$F7,11&lt;=$H7),1,"")</f>
        <v/>
      </c>
      <c r="Y7" s="9" t="str">
        <f aca="false">IF(AND(12&gt;=$F7,12&lt;=$H7),1,"")</f>
        <v/>
      </c>
      <c r="Z7" s="9" t="str">
        <f aca="false">IF(AND(13&gt;=$F7,13&lt;=$H7),1,"")</f>
        <v/>
      </c>
      <c r="AA7" s="9" t="str">
        <f aca="false">IF(AND(14&gt;=$F7,14&lt;=$H7),1,"")</f>
        <v/>
      </c>
      <c r="AB7" s="9" t="str">
        <f aca="false">IF(AND(15&gt;=$F7,15&lt;=$H7),1,"")</f>
        <v/>
      </c>
      <c r="AC7" s="9" t="str">
        <f aca="false">IF(AND(16&gt;=$F7,16&lt;=$H7),1,"")</f>
        <v/>
      </c>
      <c r="AD7" s="9" t="str">
        <f aca="false">IF(AND(17&gt;=$F7,17&lt;=$H7),1,"")</f>
        <v/>
      </c>
      <c r="AE7" s="9" t="str">
        <f aca="false">IF(AND(18&gt;=$F7,18&lt;=$H7),1,"")</f>
        <v/>
      </c>
      <c r="AF7" s="9" t="str">
        <f aca="false">IF(AND(19&gt;=$F7,19&lt;=$H7),1,"")</f>
        <v/>
      </c>
      <c r="AG7" s="9" t="str">
        <f aca="false">IF(AND(20&gt;=$F7,20&lt;=$H7),1,"")</f>
        <v/>
      </c>
      <c r="AH7" s="9" t="str">
        <f aca="false">IF(AND(21&gt;=$F7,21&lt;=$H7),1,"")</f>
        <v/>
      </c>
      <c r="AI7" s="9" t="str">
        <f aca="false">IF(AND(22&gt;=$F7,22&lt;=$H7),1,"")</f>
        <v/>
      </c>
      <c r="AJ7" s="9" t="str">
        <f aca="false">IF(AND(23&gt;=$F7,23&lt;=$H7),1,"")</f>
        <v/>
      </c>
      <c r="AK7" s="9" t="str">
        <f aca="false">IF(AND(24&gt;=$F7,24&lt;=$H7),1,"")</f>
        <v/>
      </c>
      <c r="AL7" s="9" t="str">
        <f aca="false">IF(AND(25&gt;=$F7,25&lt;=$H7),1,"")</f>
        <v/>
      </c>
      <c r="AM7" s="9" t="str">
        <f aca="false">IF(AND(26&gt;=$F7,26&lt;=$H7),1,"")</f>
        <v/>
      </c>
    </row>
    <row r="8" customFormat="false" ht="28.35" hidden="false" customHeight="false" outlineLevel="0" collapsed="false">
      <c r="A8" s="4" t="s">
        <v>62</v>
      </c>
      <c r="B8" s="4" t="s">
        <v>42</v>
      </c>
      <c r="C8" s="4" t="s">
        <v>63</v>
      </c>
      <c r="D8" s="4" t="s">
        <v>57</v>
      </c>
      <c r="E8" s="4" t="s">
        <v>55</v>
      </c>
      <c r="F8" s="5" t="n">
        <v>5</v>
      </c>
      <c r="G8" s="5" t="n">
        <v>5</v>
      </c>
      <c r="H8" s="6" t="n">
        <f aca="false">F8+G8-1</f>
        <v>9</v>
      </c>
      <c r="I8" s="7" t="n">
        <v>3500</v>
      </c>
      <c r="J8" s="4" t="s">
        <v>52</v>
      </c>
      <c r="K8" s="4" t="s">
        <v>64</v>
      </c>
      <c r="L8" s="4" t="s">
        <v>65</v>
      </c>
      <c r="M8" s="10" t="s">
        <v>61</v>
      </c>
      <c r="N8" s="9" t="str">
        <f aca="false">IF(AND(1&gt;=$F8,1&lt;=$H8),1,"")</f>
        <v/>
      </c>
      <c r="O8" s="9" t="str">
        <f aca="false">IF(AND(2&gt;=$F8,2&lt;=$H8),1,"")</f>
        <v/>
      </c>
      <c r="P8" s="9" t="str">
        <f aca="false">IF(AND(3&gt;=$F8,3&lt;=$H8),1,"")</f>
        <v/>
      </c>
      <c r="Q8" s="9" t="str">
        <f aca="false">IF(AND(4&gt;=$F8,4&lt;=$H8),1,"")</f>
        <v/>
      </c>
      <c r="R8" s="9" t="n">
        <f aca="false">IF(AND(5&gt;=$F8,5&lt;=$H8),1,"")</f>
        <v>1</v>
      </c>
      <c r="S8" s="9" t="n">
        <f aca="false">IF(AND(6&gt;=$F8,6&lt;=$H8),1,"")</f>
        <v>1</v>
      </c>
      <c r="T8" s="9" t="n">
        <f aca="false">IF(AND(7&gt;=$F8,7&lt;=$H8),1,"")</f>
        <v>1</v>
      </c>
      <c r="U8" s="9" t="n">
        <f aca="false">IF(AND(8&gt;=$F8,8&lt;=$H8),1,"")</f>
        <v>1</v>
      </c>
      <c r="V8" s="9" t="n">
        <f aca="false">IF(AND(9&gt;=$F8,9&lt;=$H8),1,"")</f>
        <v>1</v>
      </c>
      <c r="W8" s="9" t="str">
        <f aca="false">IF(AND(10&gt;=$F8,10&lt;=$H8),1,"")</f>
        <v/>
      </c>
      <c r="X8" s="9" t="str">
        <f aca="false">IF(AND(11&gt;=$F8,11&lt;=$H8),1,"")</f>
        <v/>
      </c>
      <c r="Y8" s="9" t="str">
        <f aca="false">IF(AND(12&gt;=$F8,12&lt;=$H8),1,"")</f>
        <v/>
      </c>
      <c r="Z8" s="9" t="str">
        <f aca="false">IF(AND(13&gt;=$F8,13&lt;=$H8),1,"")</f>
        <v/>
      </c>
      <c r="AA8" s="9" t="str">
        <f aca="false">IF(AND(14&gt;=$F8,14&lt;=$H8),1,"")</f>
        <v/>
      </c>
      <c r="AB8" s="9" t="str">
        <f aca="false">IF(AND(15&gt;=$F8,15&lt;=$H8),1,"")</f>
        <v/>
      </c>
      <c r="AC8" s="9" t="str">
        <f aca="false">IF(AND(16&gt;=$F8,16&lt;=$H8),1,"")</f>
        <v/>
      </c>
      <c r="AD8" s="9" t="str">
        <f aca="false">IF(AND(17&gt;=$F8,17&lt;=$H8),1,"")</f>
        <v/>
      </c>
      <c r="AE8" s="9" t="str">
        <f aca="false">IF(AND(18&gt;=$F8,18&lt;=$H8),1,"")</f>
        <v/>
      </c>
      <c r="AF8" s="9" t="str">
        <f aca="false">IF(AND(19&gt;=$F8,19&lt;=$H8),1,"")</f>
        <v/>
      </c>
      <c r="AG8" s="9" t="str">
        <f aca="false">IF(AND(20&gt;=$F8,20&lt;=$H8),1,"")</f>
        <v/>
      </c>
      <c r="AH8" s="9" t="str">
        <f aca="false">IF(AND(21&gt;=$F8,21&lt;=$H8),1,"")</f>
        <v/>
      </c>
      <c r="AI8" s="9" t="str">
        <f aca="false">IF(AND(22&gt;=$F8,22&lt;=$H8),1,"")</f>
        <v/>
      </c>
      <c r="AJ8" s="9" t="str">
        <f aca="false">IF(AND(23&gt;=$F8,23&lt;=$H8),1,"")</f>
        <v/>
      </c>
      <c r="AK8" s="9" t="str">
        <f aca="false">IF(AND(24&gt;=$F8,24&lt;=$H8),1,"")</f>
        <v/>
      </c>
      <c r="AL8" s="9" t="str">
        <f aca="false">IF(AND(25&gt;=$F8,25&lt;=$H8),1,"")</f>
        <v/>
      </c>
      <c r="AM8" s="9" t="str">
        <f aca="false">IF(AND(26&gt;=$F8,26&lt;=$H8),1,"")</f>
        <v/>
      </c>
    </row>
    <row r="9" customFormat="false" ht="41.75" hidden="false" customHeight="false" outlineLevel="0" collapsed="false">
      <c r="A9" s="4" t="s">
        <v>66</v>
      </c>
      <c r="B9" s="4" t="s">
        <v>42</v>
      </c>
      <c r="C9" s="4" t="s">
        <v>67</v>
      </c>
      <c r="D9" s="4" t="s">
        <v>57</v>
      </c>
      <c r="E9" s="4" t="s">
        <v>41</v>
      </c>
      <c r="F9" s="5" t="n">
        <v>3</v>
      </c>
      <c r="G9" s="5" t="n">
        <v>6</v>
      </c>
      <c r="H9" s="6" t="n">
        <f aca="false">F9+G9-1</f>
        <v>8</v>
      </c>
      <c r="I9" s="7" t="n">
        <v>1000</v>
      </c>
      <c r="J9" s="4" t="s">
        <v>52</v>
      </c>
      <c r="K9" s="4" t="s">
        <v>68</v>
      </c>
      <c r="L9" s="4" t="s">
        <v>69</v>
      </c>
      <c r="M9" s="10" t="s">
        <v>61</v>
      </c>
      <c r="N9" s="9" t="str">
        <f aca="false">IF(AND(1&gt;=$F9,1&lt;=$H9),1,"")</f>
        <v/>
      </c>
      <c r="O9" s="9" t="str">
        <f aca="false">IF(AND(2&gt;=$F9,2&lt;=$H9),1,"")</f>
        <v/>
      </c>
      <c r="P9" s="9" t="n">
        <f aca="false">IF(AND(3&gt;=$F9,3&lt;=$H9),1,"")</f>
        <v>1</v>
      </c>
      <c r="Q9" s="9" t="n">
        <f aca="false">IF(AND(4&gt;=$F9,4&lt;=$H9),1,"")</f>
        <v>1</v>
      </c>
      <c r="R9" s="9" t="n">
        <f aca="false">IF(AND(5&gt;=$F9,5&lt;=$H9),1,"")</f>
        <v>1</v>
      </c>
      <c r="S9" s="9" t="n">
        <f aca="false">IF(AND(6&gt;=$F9,6&lt;=$H9),1,"")</f>
        <v>1</v>
      </c>
      <c r="T9" s="9" t="n">
        <f aca="false">IF(AND(7&gt;=$F9,7&lt;=$H9),1,"")</f>
        <v>1</v>
      </c>
      <c r="U9" s="9" t="n">
        <f aca="false">IF(AND(8&gt;=$F9,8&lt;=$H9),1,"")</f>
        <v>1</v>
      </c>
      <c r="V9" s="9" t="str">
        <f aca="false">IF(AND(9&gt;=$F9,9&lt;=$H9),1,"")</f>
        <v/>
      </c>
      <c r="W9" s="9" t="str">
        <f aca="false">IF(AND(10&gt;=$F9,10&lt;=$H9),1,"")</f>
        <v/>
      </c>
      <c r="X9" s="9" t="str">
        <f aca="false">IF(AND(11&gt;=$F9,11&lt;=$H9),1,"")</f>
        <v/>
      </c>
      <c r="Y9" s="9" t="str">
        <f aca="false">IF(AND(12&gt;=$F9,12&lt;=$H9),1,"")</f>
        <v/>
      </c>
      <c r="Z9" s="9" t="str">
        <f aca="false">IF(AND(13&gt;=$F9,13&lt;=$H9),1,"")</f>
        <v/>
      </c>
      <c r="AA9" s="9" t="str">
        <f aca="false">IF(AND(14&gt;=$F9,14&lt;=$H9),1,"")</f>
        <v/>
      </c>
      <c r="AB9" s="9" t="str">
        <f aca="false">IF(AND(15&gt;=$F9,15&lt;=$H9),1,"")</f>
        <v/>
      </c>
      <c r="AC9" s="9" t="str">
        <f aca="false">IF(AND(16&gt;=$F9,16&lt;=$H9),1,"")</f>
        <v/>
      </c>
      <c r="AD9" s="9" t="str">
        <f aca="false">IF(AND(17&gt;=$F9,17&lt;=$H9),1,"")</f>
        <v/>
      </c>
      <c r="AE9" s="9" t="str">
        <f aca="false">IF(AND(18&gt;=$F9,18&lt;=$H9),1,"")</f>
        <v/>
      </c>
      <c r="AF9" s="9" t="str">
        <f aca="false">IF(AND(19&gt;=$F9,19&lt;=$H9),1,"")</f>
        <v/>
      </c>
      <c r="AG9" s="9" t="str">
        <f aca="false">IF(AND(20&gt;=$F9,20&lt;=$H9),1,"")</f>
        <v/>
      </c>
      <c r="AH9" s="9" t="str">
        <f aca="false">IF(AND(21&gt;=$F9,21&lt;=$H9),1,"")</f>
        <v/>
      </c>
      <c r="AI9" s="9" t="str">
        <f aca="false">IF(AND(22&gt;=$F9,22&lt;=$H9),1,"")</f>
        <v/>
      </c>
      <c r="AJ9" s="9" t="str">
        <f aca="false">IF(AND(23&gt;=$F9,23&lt;=$H9),1,"")</f>
        <v/>
      </c>
      <c r="AK9" s="9" t="str">
        <f aca="false">IF(AND(24&gt;=$F9,24&lt;=$H9),1,"")</f>
        <v/>
      </c>
      <c r="AL9" s="9" t="str">
        <f aca="false">IF(AND(25&gt;=$F9,25&lt;=$H9),1,"")</f>
        <v/>
      </c>
      <c r="AM9" s="9" t="str">
        <f aca="false">IF(AND(26&gt;=$F9,26&lt;=$H9),1,"")</f>
        <v/>
      </c>
    </row>
    <row r="10" customFormat="false" ht="28.35" hidden="false" customHeight="false" outlineLevel="0" collapsed="false">
      <c r="A10" s="4" t="s">
        <v>70</v>
      </c>
      <c r="B10" s="4" t="s">
        <v>42</v>
      </c>
      <c r="C10" s="4" t="s">
        <v>71</v>
      </c>
      <c r="D10" s="4" t="s">
        <v>72</v>
      </c>
      <c r="E10" s="4" t="s">
        <v>62</v>
      </c>
      <c r="F10" s="5" t="n">
        <v>8</v>
      </c>
      <c r="G10" s="5" t="n">
        <v>3</v>
      </c>
      <c r="H10" s="6" t="n">
        <f aca="false">F10+G10-1</f>
        <v>10</v>
      </c>
      <c r="I10" s="7" t="n">
        <v>1500</v>
      </c>
      <c r="J10" s="4" t="s">
        <v>52</v>
      </c>
      <c r="K10" s="4" t="s">
        <v>73</v>
      </c>
      <c r="L10" s="4" t="s">
        <v>74</v>
      </c>
      <c r="M10" s="10" t="s">
        <v>61</v>
      </c>
      <c r="N10" s="9" t="str">
        <f aca="false">IF(AND(1&gt;=$F10,1&lt;=$H10),1,"")</f>
        <v/>
      </c>
      <c r="O10" s="9" t="str">
        <f aca="false">IF(AND(2&gt;=$F10,2&lt;=$H10),1,"")</f>
        <v/>
      </c>
      <c r="P10" s="9" t="str">
        <f aca="false">IF(AND(3&gt;=$F10,3&lt;=$H10),1,"")</f>
        <v/>
      </c>
      <c r="Q10" s="9" t="str">
        <f aca="false">IF(AND(4&gt;=$F10,4&lt;=$H10),1,"")</f>
        <v/>
      </c>
      <c r="R10" s="9" t="str">
        <f aca="false">IF(AND(5&gt;=$F10,5&lt;=$H10),1,"")</f>
        <v/>
      </c>
      <c r="S10" s="9" t="str">
        <f aca="false">IF(AND(6&gt;=$F10,6&lt;=$H10),1,"")</f>
        <v/>
      </c>
      <c r="T10" s="9" t="str">
        <f aca="false">IF(AND(7&gt;=$F10,7&lt;=$H10),1,"")</f>
        <v/>
      </c>
      <c r="U10" s="9" t="n">
        <f aca="false">IF(AND(8&gt;=$F10,8&lt;=$H10),1,"")</f>
        <v>1</v>
      </c>
      <c r="V10" s="9" t="n">
        <f aca="false">IF(AND(9&gt;=$F10,9&lt;=$H10),1,"")</f>
        <v>1</v>
      </c>
      <c r="W10" s="9" t="n">
        <f aca="false">IF(AND(10&gt;=$F10,10&lt;=$H10),1,"")</f>
        <v>1</v>
      </c>
      <c r="X10" s="9" t="str">
        <f aca="false">IF(AND(11&gt;=$F10,11&lt;=$H10),1,"")</f>
        <v/>
      </c>
      <c r="Y10" s="9" t="str">
        <f aca="false">IF(AND(12&gt;=$F10,12&lt;=$H10),1,"")</f>
        <v/>
      </c>
      <c r="Z10" s="9" t="str">
        <f aca="false">IF(AND(13&gt;=$F10,13&lt;=$H10),1,"")</f>
        <v/>
      </c>
      <c r="AA10" s="9" t="str">
        <f aca="false">IF(AND(14&gt;=$F10,14&lt;=$H10),1,"")</f>
        <v/>
      </c>
      <c r="AB10" s="9" t="str">
        <f aca="false">IF(AND(15&gt;=$F10,15&lt;=$H10),1,"")</f>
        <v/>
      </c>
      <c r="AC10" s="9" t="str">
        <f aca="false">IF(AND(16&gt;=$F10,16&lt;=$H10),1,"")</f>
        <v/>
      </c>
      <c r="AD10" s="9" t="str">
        <f aca="false">IF(AND(17&gt;=$F10,17&lt;=$H10),1,"")</f>
        <v/>
      </c>
      <c r="AE10" s="9" t="str">
        <f aca="false">IF(AND(18&gt;=$F10,18&lt;=$H10),1,"")</f>
        <v/>
      </c>
      <c r="AF10" s="9" t="str">
        <f aca="false">IF(AND(19&gt;=$F10,19&lt;=$H10),1,"")</f>
        <v/>
      </c>
      <c r="AG10" s="9" t="str">
        <f aca="false">IF(AND(20&gt;=$F10,20&lt;=$H10),1,"")</f>
        <v/>
      </c>
      <c r="AH10" s="9" t="str">
        <f aca="false">IF(AND(21&gt;=$F10,21&lt;=$H10),1,"")</f>
        <v/>
      </c>
      <c r="AI10" s="9" t="str">
        <f aca="false">IF(AND(22&gt;=$F10,22&lt;=$H10),1,"")</f>
        <v/>
      </c>
      <c r="AJ10" s="9" t="str">
        <f aca="false">IF(AND(23&gt;=$F10,23&lt;=$H10),1,"")</f>
        <v/>
      </c>
      <c r="AK10" s="9" t="str">
        <f aca="false">IF(AND(24&gt;=$F10,24&lt;=$H10),1,"")</f>
        <v/>
      </c>
      <c r="AL10" s="9" t="str">
        <f aca="false">IF(AND(25&gt;=$F10,25&lt;=$H10),1,"")</f>
        <v/>
      </c>
      <c r="AM10" s="9" t="str">
        <f aca="false">IF(AND(26&gt;=$F10,26&lt;=$H10),1,"")</f>
        <v/>
      </c>
    </row>
    <row r="11" customFormat="false" ht="28.35" hidden="false" customHeight="false" outlineLevel="0" collapsed="false">
      <c r="A11" s="4" t="s">
        <v>75</v>
      </c>
      <c r="B11" s="4" t="s">
        <v>42</v>
      </c>
      <c r="C11" s="4" t="s">
        <v>76</v>
      </c>
      <c r="D11" s="4" t="s">
        <v>77</v>
      </c>
      <c r="E11" s="4" t="s">
        <v>50</v>
      </c>
      <c r="F11" s="5" t="n">
        <v>1</v>
      </c>
      <c r="G11" s="5" t="n">
        <v>3</v>
      </c>
      <c r="H11" s="6" t="n">
        <f aca="false">F11+G11-1</f>
        <v>3</v>
      </c>
      <c r="I11" s="7" t="n">
        <v>0</v>
      </c>
      <c r="J11" s="4" t="s">
        <v>52</v>
      </c>
      <c r="K11" s="4" t="s">
        <v>78</v>
      </c>
      <c r="L11" s="4" t="s">
        <v>79</v>
      </c>
      <c r="M11" s="8" t="s">
        <v>49</v>
      </c>
      <c r="N11" s="9" t="n">
        <f aca="false">IF(AND(1&gt;=$F11,1&lt;=$H11),1,"")</f>
        <v>1</v>
      </c>
      <c r="O11" s="9" t="n">
        <f aca="false">IF(AND(2&gt;=$F11,2&lt;=$H11),1,"")</f>
        <v>1</v>
      </c>
      <c r="P11" s="9" t="n">
        <f aca="false">IF(AND(3&gt;=$F11,3&lt;=$H11),1,"")</f>
        <v>1</v>
      </c>
      <c r="Q11" s="9" t="str">
        <f aca="false">IF(AND(4&gt;=$F11,4&lt;=$H11),1,"")</f>
        <v/>
      </c>
      <c r="R11" s="9" t="str">
        <f aca="false">IF(AND(5&gt;=$F11,5&lt;=$H11),1,"")</f>
        <v/>
      </c>
      <c r="S11" s="9" t="str">
        <f aca="false">IF(AND(6&gt;=$F11,6&lt;=$H11),1,"")</f>
        <v/>
      </c>
      <c r="T11" s="9" t="str">
        <f aca="false">IF(AND(7&gt;=$F11,7&lt;=$H11),1,"")</f>
        <v/>
      </c>
      <c r="U11" s="9" t="str">
        <f aca="false">IF(AND(8&gt;=$F11,8&lt;=$H11),1,"")</f>
        <v/>
      </c>
      <c r="V11" s="9" t="str">
        <f aca="false">IF(AND(9&gt;=$F11,9&lt;=$H11),1,"")</f>
        <v/>
      </c>
      <c r="W11" s="9" t="str">
        <f aca="false">IF(AND(10&gt;=$F11,10&lt;=$H11),1,"")</f>
        <v/>
      </c>
      <c r="X11" s="9" t="str">
        <f aca="false">IF(AND(11&gt;=$F11,11&lt;=$H11),1,"")</f>
        <v/>
      </c>
      <c r="Y11" s="9" t="str">
        <f aca="false">IF(AND(12&gt;=$F11,12&lt;=$H11),1,"")</f>
        <v/>
      </c>
      <c r="Z11" s="9" t="str">
        <f aca="false">IF(AND(13&gt;=$F11,13&lt;=$H11),1,"")</f>
        <v/>
      </c>
      <c r="AA11" s="9" t="str">
        <f aca="false">IF(AND(14&gt;=$F11,14&lt;=$H11),1,"")</f>
        <v/>
      </c>
      <c r="AB11" s="9" t="str">
        <f aca="false">IF(AND(15&gt;=$F11,15&lt;=$H11),1,"")</f>
        <v/>
      </c>
      <c r="AC11" s="9" t="str">
        <f aca="false">IF(AND(16&gt;=$F11,16&lt;=$H11),1,"")</f>
        <v/>
      </c>
      <c r="AD11" s="9" t="str">
        <f aca="false">IF(AND(17&gt;=$F11,17&lt;=$H11),1,"")</f>
        <v/>
      </c>
      <c r="AE11" s="9" t="str">
        <f aca="false">IF(AND(18&gt;=$F11,18&lt;=$H11),1,"")</f>
        <v/>
      </c>
      <c r="AF11" s="9" t="str">
        <f aca="false">IF(AND(19&gt;=$F11,19&lt;=$H11),1,"")</f>
        <v/>
      </c>
      <c r="AG11" s="9" t="str">
        <f aca="false">IF(AND(20&gt;=$F11,20&lt;=$H11),1,"")</f>
        <v/>
      </c>
      <c r="AH11" s="9" t="str">
        <f aca="false">IF(AND(21&gt;=$F11,21&lt;=$H11),1,"")</f>
        <v/>
      </c>
      <c r="AI11" s="9" t="str">
        <f aca="false">IF(AND(22&gt;=$F11,22&lt;=$H11),1,"")</f>
        <v/>
      </c>
      <c r="AJ11" s="9" t="str">
        <f aca="false">IF(AND(23&gt;=$F11,23&lt;=$H11),1,"")</f>
        <v/>
      </c>
      <c r="AK11" s="9" t="str">
        <f aca="false">IF(AND(24&gt;=$F11,24&lt;=$H11),1,"")</f>
        <v/>
      </c>
      <c r="AL11" s="9" t="str">
        <f aca="false">IF(AND(25&gt;=$F11,25&lt;=$H11),1,"")</f>
        <v/>
      </c>
      <c r="AM11" s="9" t="str">
        <f aca="false">IF(AND(26&gt;=$F11,26&lt;=$H11),1,"")</f>
        <v/>
      </c>
    </row>
    <row r="12" customFormat="false" ht="15" hidden="false" customHeight="false" outlineLevel="0" collapsed="false">
      <c r="A12" s="4" t="s">
        <v>80</v>
      </c>
      <c r="B12" s="4" t="s">
        <v>81</v>
      </c>
      <c r="C12" s="4" t="s">
        <v>82</v>
      </c>
      <c r="D12" s="4" t="s">
        <v>44</v>
      </c>
      <c r="E12" s="4" t="s">
        <v>75</v>
      </c>
      <c r="F12" s="5" t="n">
        <v>2</v>
      </c>
      <c r="G12" s="5" t="n">
        <v>4</v>
      </c>
      <c r="H12" s="6" t="n">
        <f aca="false">F12+G12-1</f>
        <v>5</v>
      </c>
      <c r="I12" s="7" t="n">
        <v>0</v>
      </c>
      <c r="J12" s="4" t="s">
        <v>46</v>
      </c>
      <c r="K12" s="4" t="s">
        <v>83</v>
      </c>
      <c r="L12" s="4" t="s">
        <v>84</v>
      </c>
      <c r="M12" s="8" t="s">
        <v>49</v>
      </c>
      <c r="N12" s="9" t="str">
        <f aca="false">IF(AND(1&gt;=$F12,1&lt;=$H12),1,"")</f>
        <v/>
      </c>
      <c r="O12" s="9" t="n">
        <f aca="false">IF(AND(2&gt;=$F12,2&lt;=$H12),1,"")</f>
        <v>1</v>
      </c>
      <c r="P12" s="9" t="n">
        <f aca="false">IF(AND(3&gt;=$F12,3&lt;=$H12),1,"")</f>
        <v>1</v>
      </c>
      <c r="Q12" s="9" t="n">
        <f aca="false">IF(AND(4&gt;=$F12,4&lt;=$H12),1,"")</f>
        <v>1</v>
      </c>
      <c r="R12" s="9" t="n">
        <f aca="false">IF(AND(5&gt;=$F12,5&lt;=$H12),1,"")</f>
        <v>1</v>
      </c>
      <c r="S12" s="9" t="str">
        <f aca="false">IF(AND(6&gt;=$F12,6&lt;=$H12),1,"")</f>
        <v/>
      </c>
      <c r="T12" s="9" t="str">
        <f aca="false">IF(AND(7&gt;=$F12,7&lt;=$H12),1,"")</f>
        <v/>
      </c>
      <c r="U12" s="9" t="str">
        <f aca="false">IF(AND(8&gt;=$F12,8&lt;=$H12),1,"")</f>
        <v/>
      </c>
      <c r="V12" s="9" t="str">
        <f aca="false">IF(AND(9&gt;=$F12,9&lt;=$H12),1,"")</f>
        <v/>
      </c>
      <c r="W12" s="9" t="str">
        <f aca="false">IF(AND(10&gt;=$F12,10&lt;=$H12),1,"")</f>
        <v/>
      </c>
      <c r="X12" s="9" t="str">
        <f aca="false">IF(AND(11&gt;=$F12,11&lt;=$H12),1,"")</f>
        <v/>
      </c>
      <c r="Y12" s="9" t="str">
        <f aca="false">IF(AND(12&gt;=$F12,12&lt;=$H12),1,"")</f>
        <v/>
      </c>
      <c r="Z12" s="9" t="str">
        <f aca="false">IF(AND(13&gt;=$F12,13&lt;=$H12),1,"")</f>
        <v/>
      </c>
      <c r="AA12" s="9" t="str">
        <f aca="false">IF(AND(14&gt;=$F12,14&lt;=$H12),1,"")</f>
        <v/>
      </c>
      <c r="AB12" s="9" t="str">
        <f aca="false">IF(AND(15&gt;=$F12,15&lt;=$H12),1,"")</f>
        <v/>
      </c>
      <c r="AC12" s="9" t="str">
        <f aca="false">IF(AND(16&gt;=$F12,16&lt;=$H12),1,"")</f>
        <v/>
      </c>
      <c r="AD12" s="9" t="str">
        <f aca="false">IF(AND(17&gt;=$F12,17&lt;=$H12),1,"")</f>
        <v/>
      </c>
      <c r="AE12" s="9" t="str">
        <f aca="false">IF(AND(18&gt;=$F12,18&lt;=$H12),1,"")</f>
        <v/>
      </c>
      <c r="AF12" s="9" t="str">
        <f aca="false">IF(AND(19&gt;=$F12,19&lt;=$H12),1,"")</f>
        <v/>
      </c>
      <c r="AG12" s="9" t="str">
        <f aca="false">IF(AND(20&gt;=$F12,20&lt;=$H12),1,"")</f>
        <v/>
      </c>
      <c r="AH12" s="9" t="str">
        <f aca="false">IF(AND(21&gt;=$F12,21&lt;=$H12),1,"")</f>
        <v/>
      </c>
      <c r="AI12" s="9" t="str">
        <f aca="false">IF(AND(22&gt;=$F12,22&lt;=$H12),1,"")</f>
        <v/>
      </c>
      <c r="AJ12" s="9" t="str">
        <f aca="false">IF(AND(23&gt;=$F12,23&lt;=$H12),1,"")</f>
        <v/>
      </c>
      <c r="AK12" s="9" t="str">
        <f aca="false">IF(AND(24&gt;=$F12,24&lt;=$H12),1,"")</f>
        <v/>
      </c>
      <c r="AL12" s="9" t="str">
        <f aca="false">IF(AND(25&gt;=$F12,25&lt;=$H12),1,"")</f>
        <v/>
      </c>
      <c r="AM12" s="9" t="str">
        <f aca="false">IF(AND(26&gt;=$F12,26&lt;=$H12),1,"")</f>
        <v/>
      </c>
    </row>
    <row r="13" customFormat="false" ht="28.35" hidden="false" customHeight="false" outlineLevel="0" collapsed="false">
      <c r="A13" s="4" t="s">
        <v>85</v>
      </c>
      <c r="B13" s="4" t="s">
        <v>42</v>
      </c>
      <c r="C13" s="4" t="s">
        <v>86</v>
      </c>
      <c r="D13" s="4" t="s">
        <v>44</v>
      </c>
      <c r="E13" s="4" t="s">
        <v>48</v>
      </c>
      <c r="F13" s="5" t="n">
        <v>1</v>
      </c>
      <c r="G13" s="5" t="n">
        <v>1</v>
      </c>
      <c r="H13" s="6" t="n">
        <f aca="false">F13+G13-1</f>
        <v>1</v>
      </c>
      <c r="I13" s="7" t="n">
        <v>0</v>
      </c>
      <c r="J13" s="4" t="s">
        <v>52</v>
      </c>
      <c r="K13" s="4" t="s">
        <v>87</v>
      </c>
      <c r="L13" s="4" t="s">
        <v>48</v>
      </c>
      <c r="M13" s="8" t="s">
        <v>88</v>
      </c>
      <c r="N13" s="9" t="n">
        <f aca="false">IF(AND(1&gt;=$F13,1&lt;=$H13),1,"")</f>
        <v>1</v>
      </c>
      <c r="O13" s="9" t="str">
        <f aca="false">IF(AND(2&gt;=$F13,2&lt;=$H13),1,"")</f>
        <v/>
      </c>
      <c r="P13" s="9" t="str">
        <f aca="false">IF(AND(3&gt;=$F13,3&lt;=$H13),1,"")</f>
        <v/>
      </c>
      <c r="Q13" s="9" t="str">
        <f aca="false">IF(AND(4&gt;=$F13,4&lt;=$H13),1,"")</f>
        <v/>
      </c>
      <c r="R13" s="9" t="str">
        <f aca="false">IF(AND(5&gt;=$F13,5&lt;=$H13),1,"")</f>
        <v/>
      </c>
      <c r="S13" s="9" t="str">
        <f aca="false">IF(AND(6&gt;=$F13,6&lt;=$H13),1,"")</f>
        <v/>
      </c>
      <c r="T13" s="9" t="str">
        <f aca="false">IF(AND(7&gt;=$F13,7&lt;=$H13),1,"")</f>
        <v/>
      </c>
      <c r="U13" s="9" t="str">
        <f aca="false">IF(AND(8&gt;=$F13,8&lt;=$H13),1,"")</f>
        <v/>
      </c>
      <c r="V13" s="9" t="str">
        <f aca="false">IF(AND(9&gt;=$F13,9&lt;=$H13),1,"")</f>
        <v/>
      </c>
      <c r="W13" s="9" t="str">
        <f aca="false">IF(AND(10&gt;=$F13,10&lt;=$H13),1,"")</f>
        <v/>
      </c>
      <c r="X13" s="9" t="str">
        <f aca="false">IF(AND(11&gt;=$F13,11&lt;=$H13),1,"")</f>
        <v/>
      </c>
      <c r="Y13" s="9" t="str">
        <f aca="false">IF(AND(12&gt;=$F13,12&lt;=$H13),1,"")</f>
        <v/>
      </c>
      <c r="Z13" s="9" t="str">
        <f aca="false">IF(AND(13&gt;=$F13,13&lt;=$H13),1,"")</f>
        <v/>
      </c>
      <c r="AA13" s="9" t="str">
        <f aca="false">IF(AND(14&gt;=$F13,14&lt;=$H13),1,"")</f>
        <v/>
      </c>
      <c r="AB13" s="9" t="str">
        <f aca="false">IF(AND(15&gt;=$F13,15&lt;=$H13),1,"")</f>
        <v/>
      </c>
      <c r="AC13" s="9" t="str">
        <f aca="false">IF(AND(16&gt;=$F13,16&lt;=$H13),1,"")</f>
        <v/>
      </c>
      <c r="AD13" s="9" t="str">
        <f aca="false">IF(AND(17&gt;=$F13,17&lt;=$H13),1,"")</f>
        <v/>
      </c>
      <c r="AE13" s="9" t="str">
        <f aca="false">IF(AND(18&gt;=$F13,18&lt;=$H13),1,"")</f>
        <v/>
      </c>
      <c r="AF13" s="9" t="str">
        <f aca="false">IF(AND(19&gt;=$F13,19&lt;=$H13),1,"")</f>
        <v/>
      </c>
      <c r="AG13" s="9" t="str">
        <f aca="false">IF(AND(20&gt;=$F13,20&lt;=$H13),1,"")</f>
        <v/>
      </c>
      <c r="AH13" s="9" t="str">
        <f aca="false">IF(AND(21&gt;=$F13,21&lt;=$H13),1,"")</f>
        <v/>
      </c>
      <c r="AI13" s="9" t="str">
        <f aca="false">IF(AND(22&gt;=$F13,22&lt;=$H13),1,"")</f>
        <v/>
      </c>
      <c r="AJ13" s="9" t="str">
        <f aca="false">IF(AND(23&gt;=$F13,23&lt;=$H13),1,"")</f>
        <v/>
      </c>
      <c r="AK13" s="9" t="str">
        <f aca="false">IF(AND(24&gt;=$F13,24&lt;=$H13),1,"")</f>
        <v/>
      </c>
      <c r="AL13" s="9" t="str">
        <f aca="false">IF(AND(25&gt;=$F13,25&lt;=$H13),1,"")</f>
        <v/>
      </c>
      <c r="AM13" s="9" t="str">
        <f aca="false">IF(AND(26&gt;=$F13,26&lt;=$H13),1,"")</f>
        <v/>
      </c>
    </row>
    <row r="14" customFormat="false" ht="28.35" hidden="false" customHeight="false" outlineLevel="0" collapsed="false">
      <c r="A14" s="4" t="s">
        <v>89</v>
      </c>
      <c r="B14" s="4" t="s">
        <v>42</v>
      </c>
      <c r="C14" s="4" t="s">
        <v>90</v>
      </c>
      <c r="D14" s="4" t="s">
        <v>44</v>
      </c>
      <c r="E14" s="4" t="s">
        <v>91</v>
      </c>
      <c r="F14" s="5" t="n">
        <v>11</v>
      </c>
      <c r="G14" s="5" t="n">
        <v>1</v>
      </c>
      <c r="H14" s="6" t="n">
        <f aca="false">F14+G14-1</f>
        <v>11</v>
      </c>
      <c r="I14" s="7" t="n">
        <v>0</v>
      </c>
      <c r="J14" s="4" t="s">
        <v>48</v>
      </c>
      <c r="K14" s="4" t="s">
        <v>92</v>
      </c>
      <c r="L14" s="4" t="s">
        <v>93</v>
      </c>
      <c r="M14" s="10" t="s">
        <v>61</v>
      </c>
      <c r="N14" s="9" t="str">
        <f aca="false">IF(AND(1&gt;=$F14,1&lt;=$H14),1,"")</f>
        <v/>
      </c>
      <c r="O14" s="9" t="str">
        <f aca="false">IF(AND(2&gt;=$F14,2&lt;=$H14),1,"")</f>
        <v/>
      </c>
      <c r="P14" s="9" t="str">
        <f aca="false">IF(AND(3&gt;=$F14,3&lt;=$H14),1,"")</f>
        <v/>
      </c>
      <c r="Q14" s="9" t="str">
        <f aca="false">IF(AND(4&gt;=$F14,4&lt;=$H14),1,"")</f>
        <v/>
      </c>
      <c r="R14" s="9" t="str">
        <f aca="false">IF(AND(5&gt;=$F14,5&lt;=$H14),1,"")</f>
        <v/>
      </c>
      <c r="S14" s="9" t="str">
        <f aca="false">IF(AND(6&gt;=$F14,6&lt;=$H14),1,"")</f>
        <v/>
      </c>
      <c r="T14" s="9" t="str">
        <f aca="false">IF(AND(7&gt;=$F14,7&lt;=$H14),1,"")</f>
        <v/>
      </c>
      <c r="U14" s="9" t="str">
        <f aca="false">IF(AND(8&gt;=$F14,8&lt;=$H14),1,"")</f>
        <v/>
      </c>
      <c r="V14" s="9" t="str">
        <f aca="false">IF(AND(9&gt;=$F14,9&lt;=$H14),1,"")</f>
        <v/>
      </c>
      <c r="W14" s="9" t="str">
        <f aca="false">IF(AND(10&gt;=$F14,10&lt;=$H14),1,"")</f>
        <v/>
      </c>
      <c r="X14" s="9" t="n">
        <f aca="false">IF(AND(11&gt;=$F14,11&lt;=$H14),1,"")</f>
        <v>1</v>
      </c>
      <c r="Y14" s="9" t="str">
        <f aca="false">IF(AND(12&gt;=$F14,12&lt;=$H14),1,"")</f>
        <v/>
      </c>
      <c r="Z14" s="9" t="str">
        <f aca="false">IF(AND(13&gt;=$F14,13&lt;=$H14),1,"")</f>
        <v/>
      </c>
      <c r="AA14" s="9" t="str">
        <f aca="false">IF(AND(14&gt;=$F14,14&lt;=$H14),1,"")</f>
        <v/>
      </c>
      <c r="AB14" s="9" t="str">
        <f aca="false">IF(AND(15&gt;=$F14,15&lt;=$H14),1,"")</f>
        <v/>
      </c>
      <c r="AC14" s="9" t="str">
        <f aca="false">IF(AND(16&gt;=$F14,16&lt;=$H14),1,"")</f>
        <v/>
      </c>
      <c r="AD14" s="9" t="str">
        <f aca="false">IF(AND(17&gt;=$F14,17&lt;=$H14),1,"")</f>
        <v/>
      </c>
      <c r="AE14" s="9" t="str">
        <f aca="false">IF(AND(18&gt;=$F14,18&lt;=$H14),1,"")</f>
        <v/>
      </c>
      <c r="AF14" s="9" t="str">
        <f aca="false">IF(AND(19&gt;=$F14,19&lt;=$H14),1,"")</f>
        <v/>
      </c>
      <c r="AG14" s="9" t="str">
        <f aca="false">IF(AND(20&gt;=$F14,20&lt;=$H14),1,"")</f>
        <v/>
      </c>
      <c r="AH14" s="9" t="str">
        <f aca="false">IF(AND(21&gt;=$F14,21&lt;=$H14),1,"")</f>
        <v/>
      </c>
      <c r="AI14" s="9" t="str">
        <f aca="false">IF(AND(22&gt;=$F14,22&lt;=$H14),1,"")</f>
        <v/>
      </c>
      <c r="AJ14" s="9" t="str">
        <f aca="false">IF(AND(23&gt;=$F14,23&lt;=$H14),1,"")</f>
        <v/>
      </c>
      <c r="AK14" s="9" t="str">
        <f aca="false">IF(AND(24&gt;=$F14,24&lt;=$H14),1,"")</f>
        <v/>
      </c>
      <c r="AL14" s="9" t="str">
        <f aca="false">IF(AND(25&gt;=$F14,25&lt;=$H14),1,"")</f>
        <v/>
      </c>
      <c r="AM14" s="9" t="str">
        <f aca="false">IF(AND(26&gt;=$F14,26&lt;=$H14),1,"")</f>
        <v/>
      </c>
    </row>
    <row r="15" customFormat="false" ht="28.35" hidden="false" customHeight="false" outlineLevel="0" collapsed="false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98</v>
      </c>
      <c r="F15" s="5" t="n">
        <v>2</v>
      </c>
      <c r="G15" s="5" t="n">
        <v>4</v>
      </c>
      <c r="H15" s="6" t="n">
        <f aca="false">F15+G15-1</f>
        <v>5</v>
      </c>
      <c r="I15" s="7" t="n">
        <v>1500</v>
      </c>
      <c r="J15" s="4" t="s">
        <v>46</v>
      </c>
      <c r="K15" s="4" t="s">
        <v>99</v>
      </c>
      <c r="L15" s="4" t="s">
        <v>100</v>
      </c>
      <c r="M15" s="8" t="s">
        <v>49</v>
      </c>
      <c r="N15" s="9" t="str">
        <f aca="false">IF(AND(1&gt;=$F15,1&lt;=$H15),1,"")</f>
        <v/>
      </c>
      <c r="O15" s="9" t="n">
        <f aca="false">IF(AND(2&gt;=$F15,2&lt;=$H15),1,"")</f>
        <v>1</v>
      </c>
      <c r="P15" s="9" t="n">
        <f aca="false">IF(AND(3&gt;=$F15,3&lt;=$H15),1,"")</f>
        <v>1</v>
      </c>
      <c r="Q15" s="9" t="n">
        <f aca="false">IF(AND(4&gt;=$F15,4&lt;=$H15),1,"")</f>
        <v>1</v>
      </c>
      <c r="R15" s="9" t="n">
        <f aca="false">IF(AND(5&gt;=$F15,5&lt;=$H15),1,"")</f>
        <v>1</v>
      </c>
      <c r="S15" s="9" t="str">
        <f aca="false">IF(AND(6&gt;=$F15,6&lt;=$H15),1,"")</f>
        <v/>
      </c>
      <c r="T15" s="9" t="str">
        <f aca="false">IF(AND(7&gt;=$F15,7&lt;=$H15),1,"")</f>
        <v/>
      </c>
      <c r="U15" s="9" t="str">
        <f aca="false">IF(AND(8&gt;=$F15,8&lt;=$H15),1,"")</f>
        <v/>
      </c>
      <c r="V15" s="9" t="str">
        <f aca="false">IF(AND(9&gt;=$F15,9&lt;=$H15),1,"")</f>
        <v/>
      </c>
      <c r="W15" s="9" t="str">
        <f aca="false">IF(AND(10&gt;=$F15,10&lt;=$H15),1,"")</f>
        <v/>
      </c>
      <c r="X15" s="9" t="str">
        <f aca="false">IF(AND(11&gt;=$F15,11&lt;=$H15),1,"")</f>
        <v/>
      </c>
      <c r="Y15" s="9" t="str">
        <f aca="false">IF(AND(12&gt;=$F15,12&lt;=$H15),1,"")</f>
        <v/>
      </c>
      <c r="Z15" s="9" t="str">
        <f aca="false">IF(AND(13&gt;=$F15,13&lt;=$H15),1,"")</f>
        <v/>
      </c>
      <c r="AA15" s="9" t="str">
        <f aca="false">IF(AND(14&gt;=$F15,14&lt;=$H15),1,"")</f>
        <v/>
      </c>
      <c r="AB15" s="9" t="str">
        <f aca="false">IF(AND(15&gt;=$F15,15&lt;=$H15),1,"")</f>
        <v/>
      </c>
      <c r="AC15" s="9" t="str">
        <f aca="false">IF(AND(16&gt;=$F15,16&lt;=$H15),1,"")</f>
        <v/>
      </c>
      <c r="AD15" s="9" t="str">
        <f aca="false">IF(AND(17&gt;=$F15,17&lt;=$H15),1,"")</f>
        <v/>
      </c>
      <c r="AE15" s="9" t="str">
        <f aca="false">IF(AND(18&gt;=$F15,18&lt;=$H15),1,"")</f>
        <v/>
      </c>
      <c r="AF15" s="9" t="str">
        <f aca="false">IF(AND(19&gt;=$F15,19&lt;=$H15),1,"")</f>
        <v/>
      </c>
      <c r="AG15" s="9" t="str">
        <f aca="false">IF(AND(20&gt;=$F15,20&lt;=$H15),1,"")</f>
        <v/>
      </c>
      <c r="AH15" s="9" t="str">
        <f aca="false">IF(AND(21&gt;=$F15,21&lt;=$H15),1,"")</f>
        <v/>
      </c>
      <c r="AI15" s="9" t="str">
        <f aca="false">IF(AND(22&gt;=$F15,22&lt;=$H15),1,"")</f>
        <v/>
      </c>
      <c r="AJ15" s="9" t="str">
        <f aca="false">IF(AND(23&gt;=$F15,23&lt;=$H15),1,"")</f>
        <v/>
      </c>
      <c r="AK15" s="9" t="str">
        <f aca="false">IF(AND(24&gt;=$F15,24&lt;=$H15),1,"")</f>
        <v/>
      </c>
      <c r="AL15" s="9" t="str">
        <f aca="false">IF(AND(25&gt;=$F15,25&lt;=$H15),1,"")</f>
        <v/>
      </c>
      <c r="AM15" s="9" t="str">
        <f aca="false">IF(AND(26&gt;=$F15,26&lt;=$H15),1,"")</f>
        <v/>
      </c>
    </row>
    <row r="16" customFormat="false" ht="28.35" hidden="false" customHeight="false" outlineLevel="0" collapsed="false">
      <c r="A16" s="4" t="s">
        <v>101</v>
      </c>
      <c r="B16" s="4" t="s">
        <v>95</v>
      </c>
      <c r="C16" s="4" t="s">
        <v>102</v>
      </c>
      <c r="D16" s="4" t="s">
        <v>103</v>
      </c>
      <c r="E16" s="4" t="s">
        <v>48</v>
      </c>
      <c r="F16" s="5" t="n">
        <v>2</v>
      </c>
      <c r="G16" s="5" t="n">
        <v>3</v>
      </c>
      <c r="H16" s="6" t="n">
        <f aca="false">F16+G16-1</f>
        <v>4</v>
      </c>
      <c r="I16" s="7" t="n">
        <v>500</v>
      </c>
      <c r="J16" s="4" t="s">
        <v>104</v>
      </c>
      <c r="K16" s="4" t="s">
        <v>105</v>
      </c>
      <c r="L16" s="4" t="s">
        <v>48</v>
      </c>
      <c r="M16" s="8" t="s">
        <v>49</v>
      </c>
      <c r="N16" s="9" t="str">
        <f aca="false">IF(AND(1&gt;=$F16,1&lt;=$H16),1,"")</f>
        <v/>
      </c>
      <c r="O16" s="9" t="n">
        <f aca="false">IF(AND(2&gt;=$F16,2&lt;=$H16),1,"")</f>
        <v>1</v>
      </c>
      <c r="P16" s="9" t="n">
        <f aca="false">IF(AND(3&gt;=$F16,3&lt;=$H16),1,"")</f>
        <v>1</v>
      </c>
      <c r="Q16" s="9" t="n">
        <f aca="false">IF(AND(4&gt;=$F16,4&lt;=$H16),1,"")</f>
        <v>1</v>
      </c>
      <c r="R16" s="9" t="str">
        <f aca="false">IF(AND(5&gt;=$F16,5&lt;=$H16),1,"")</f>
        <v/>
      </c>
      <c r="S16" s="9" t="str">
        <f aca="false">IF(AND(6&gt;=$F16,6&lt;=$H16),1,"")</f>
        <v/>
      </c>
      <c r="T16" s="9" t="str">
        <f aca="false">IF(AND(7&gt;=$F16,7&lt;=$H16),1,"")</f>
        <v/>
      </c>
      <c r="U16" s="9" t="str">
        <f aca="false">IF(AND(8&gt;=$F16,8&lt;=$H16),1,"")</f>
        <v/>
      </c>
      <c r="V16" s="9" t="str">
        <f aca="false">IF(AND(9&gt;=$F16,9&lt;=$H16),1,"")</f>
        <v/>
      </c>
      <c r="W16" s="9" t="str">
        <f aca="false">IF(AND(10&gt;=$F16,10&lt;=$H16),1,"")</f>
        <v/>
      </c>
      <c r="X16" s="9" t="str">
        <f aca="false">IF(AND(11&gt;=$F16,11&lt;=$H16),1,"")</f>
        <v/>
      </c>
      <c r="Y16" s="9" t="str">
        <f aca="false">IF(AND(12&gt;=$F16,12&lt;=$H16),1,"")</f>
        <v/>
      </c>
      <c r="Z16" s="9" t="str">
        <f aca="false">IF(AND(13&gt;=$F16,13&lt;=$H16),1,"")</f>
        <v/>
      </c>
      <c r="AA16" s="9" t="str">
        <f aca="false">IF(AND(14&gt;=$F16,14&lt;=$H16),1,"")</f>
        <v/>
      </c>
      <c r="AB16" s="9" t="str">
        <f aca="false">IF(AND(15&gt;=$F16,15&lt;=$H16),1,"")</f>
        <v/>
      </c>
      <c r="AC16" s="9" t="str">
        <f aca="false">IF(AND(16&gt;=$F16,16&lt;=$H16),1,"")</f>
        <v/>
      </c>
      <c r="AD16" s="9" t="str">
        <f aca="false">IF(AND(17&gt;=$F16,17&lt;=$H16),1,"")</f>
        <v/>
      </c>
      <c r="AE16" s="9" t="str">
        <f aca="false">IF(AND(18&gt;=$F16,18&lt;=$H16),1,"")</f>
        <v/>
      </c>
      <c r="AF16" s="9" t="str">
        <f aca="false">IF(AND(19&gt;=$F16,19&lt;=$H16),1,"")</f>
        <v/>
      </c>
      <c r="AG16" s="9" t="str">
        <f aca="false">IF(AND(20&gt;=$F16,20&lt;=$H16),1,"")</f>
        <v/>
      </c>
      <c r="AH16" s="9" t="str">
        <f aca="false">IF(AND(21&gt;=$F16,21&lt;=$H16),1,"")</f>
        <v/>
      </c>
      <c r="AI16" s="9" t="str">
        <f aca="false">IF(AND(22&gt;=$F16,22&lt;=$H16),1,"")</f>
        <v/>
      </c>
      <c r="AJ16" s="9" t="str">
        <f aca="false">IF(AND(23&gt;=$F16,23&lt;=$H16),1,"")</f>
        <v/>
      </c>
      <c r="AK16" s="9" t="str">
        <f aca="false">IF(AND(24&gt;=$F16,24&lt;=$H16),1,"")</f>
        <v/>
      </c>
      <c r="AL16" s="9" t="str">
        <f aca="false">IF(AND(25&gt;=$F16,25&lt;=$H16),1,"")</f>
        <v/>
      </c>
      <c r="AM16" s="9" t="str">
        <f aca="false">IF(AND(26&gt;=$F16,26&lt;=$H16),1,"")</f>
        <v/>
      </c>
    </row>
    <row r="17" customFormat="false" ht="15" hidden="false" customHeight="false" outlineLevel="0" collapsed="false">
      <c r="A17" s="4" t="s">
        <v>106</v>
      </c>
      <c r="B17" s="4" t="s">
        <v>95</v>
      </c>
      <c r="C17" s="4" t="s">
        <v>107</v>
      </c>
      <c r="D17" s="4" t="s">
        <v>108</v>
      </c>
      <c r="E17" s="4" t="s">
        <v>48</v>
      </c>
      <c r="F17" s="5" t="n">
        <v>2</v>
      </c>
      <c r="G17" s="5" t="n">
        <v>2</v>
      </c>
      <c r="H17" s="6" t="n">
        <f aca="false">F17+G17-1</f>
        <v>3</v>
      </c>
      <c r="I17" s="7" t="n">
        <v>0</v>
      </c>
      <c r="J17" s="4" t="s">
        <v>104</v>
      </c>
      <c r="K17" s="4" t="s">
        <v>109</v>
      </c>
      <c r="L17" s="4" t="s">
        <v>48</v>
      </c>
      <c r="M17" s="8" t="s">
        <v>49</v>
      </c>
      <c r="N17" s="9" t="str">
        <f aca="false">IF(AND(1&gt;=$F17,1&lt;=$H17),1,"")</f>
        <v/>
      </c>
      <c r="O17" s="9" t="n">
        <f aca="false">IF(AND(2&gt;=$F17,2&lt;=$H17),1,"")</f>
        <v>1</v>
      </c>
      <c r="P17" s="9" t="n">
        <f aca="false">IF(AND(3&gt;=$F17,3&lt;=$H17),1,"")</f>
        <v>1</v>
      </c>
      <c r="Q17" s="9" t="str">
        <f aca="false">IF(AND(4&gt;=$F17,4&lt;=$H17),1,"")</f>
        <v/>
      </c>
      <c r="R17" s="9" t="str">
        <f aca="false">IF(AND(5&gt;=$F17,5&lt;=$H17),1,"")</f>
        <v/>
      </c>
      <c r="S17" s="9" t="str">
        <f aca="false">IF(AND(6&gt;=$F17,6&lt;=$H17),1,"")</f>
        <v/>
      </c>
      <c r="T17" s="9" t="str">
        <f aca="false">IF(AND(7&gt;=$F17,7&lt;=$H17),1,"")</f>
        <v/>
      </c>
      <c r="U17" s="9" t="str">
        <f aca="false">IF(AND(8&gt;=$F17,8&lt;=$H17),1,"")</f>
        <v/>
      </c>
      <c r="V17" s="9" t="str">
        <f aca="false">IF(AND(9&gt;=$F17,9&lt;=$H17),1,"")</f>
        <v/>
      </c>
      <c r="W17" s="9" t="str">
        <f aca="false">IF(AND(10&gt;=$F17,10&lt;=$H17),1,"")</f>
        <v/>
      </c>
      <c r="X17" s="9" t="str">
        <f aca="false">IF(AND(11&gt;=$F17,11&lt;=$H17),1,"")</f>
        <v/>
      </c>
      <c r="Y17" s="9" t="str">
        <f aca="false">IF(AND(12&gt;=$F17,12&lt;=$H17),1,"")</f>
        <v/>
      </c>
      <c r="Z17" s="9" t="str">
        <f aca="false">IF(AND(13&gt;=$F17,13&lt;=$H17),1,"")</f>
        <v/>
      </c>
      <c r="AA17" s="9" t="str">
        <f aca="false">IF(AND(14&gt;=$F17,14&lt;=$H17),1,"")</f>
        <v/>
      </c>
      <c r="AB17" s="9" t="str">
        <f aca="false">IF(AND(15&gt;=$F17,15&lt;=$H17),1,"")</f>
        <v/>
      </c>
      <c r="AC17" s="9" t="str">
        <f aca="false">IF(AND(16&gt;=$F17,16&lt;=$H17),1,"")</f>
        <v/>
      </c>
      <c r="AD17" s="9" t="str">
        <f aca="false">IF(AND(17&gt;=$F17,17&lt;=$H17),1,"")</f>
        <v/>
      </c>
      <c r="AE17" s="9" t="str">
        <f aca="false">IF(AND(18&gt;=$F17,18&lt;=$H17),1,"")</f>
        <v/>
      </c>
      <c r="AF17" s="9" t="str">
        <f aca="false">IF(AND(19&gt;=$F17,19&lt;=$H17),1,"")</f>
        <v/>
      </c>
      <c r="AG17" s="9" t="str">
        <f aca="false">IF(AND(20&gt;=$F17,20&lt;=$H17),1,"")</f>
        <v/>
      </c>
      <c r="AH17" s="9" t="str">
        <f aca="false">IF(AND(21&gt;=$F17,21&lt;=$H17),1,"")</f>
        <v/>
      </c>
      <c r="AI17" s="9" t="str">
        <f aca="false">IF(AND(22&gt;=$F17,22&lt;=$H17),1,"")</f>
        <v/>
      </c>
      <c r="AJ17" s="9" t="str">
        <f aca="false">IF(AND(23&gt;=$F17,23&lt;=$H17),1,"")</f>
        <v/>
      </c>
      <c r="AK17" s="9" t="str">
        <f aca="false">IF(AND(24&gt;=$F17,24&lt;=$H17),1,"")</f>
        <v/>
      </c>
      <c r="AL17" s="9" t="str">
        <f aca="false">IF(AND(25&gt;=$F17,25&lt;=$H17),1,"")</f>
        <v/>
      </c>
      <c r="AM17" s="9" t="str">
        <f aca="false">IF(AND(26&gt;=$F17,26&lt;=$H17),1,"")</f>
        <v/>
      </c>
    </row>
    <row r="18" customFormat="false" ht="28.35" hidden="false" customHeight="false" outlineLevel="0" collapsed="false">
      <c r="A18" s="4" t="s">
        <v>110</v>
      </c>
      <c r="B18" s="4" t="s">
        <v>95</v>
      </c>
      <c r="C18" s="4" t="s">
        <v>111</v>
      </c>
      <c r="D18" s="4" t="s">
        <v>103</v>
      </c>
      <c r="E18" s="4" t="s">
        <v>48</v>
      </c>
      <c r="F18" s="5" t="n">
        <v>2</v>
      </c>
      <c r="G18" s="5" t="n">
        <v>1</v>
      </c>
      <c r="H18" s="6" t="n">
        <f aca="false">F18+G18-1</f>
        <v>2</v>
      </c>
      <c r="I18" s="7" t="n">
        <v>0</v>
      </c>
      <c r="J18" s="4" t="s">
        <v>104</v>
      </c>
      <c r="K18" s="4" t="s">
        <v>112</v>
      </c>
      <c r="L18" s="4" t="s">
        <v>48</v>
      </c>
      <c r="M18" s="8" t="s">
        <v>49</v>
      </c>
      <c r="N18" s="9" t="str">
        <f aca="false">IF(AND(1&gt;=$F18,1&lt;=$H18),1,"")</f>
        <v/>
      </c>
      <c r="O18" s="9" t="n">
        <f aca="false">IF(AND(2&gt;=$F18,2&lt;=$H18),1,"")</f>
        <v>1</v>
      </c>
      <c r="P18" s="9" t="str">
        <f aca="false">IF(AND(3&gt;=$F18,3&lt;=$H18),1,"")</f>
        <v/>
      </c>
      <c r="Q18" s="9" t="str">
        <f aca="false">IF(AND(4&gt;=$F18,4&lt;=$H18),1,"")</f>
        <v/>
      </c>
      <c r="R18" s="9" t="str">
        <f aca="false">IF(AND(5&gt;=$F18,5&lt;=$H18),1,"")</f>
        <v/>
      </c>
      <c r="S18" s="9" t="str">
        <f aca="false">IF(AND(6&gt;=$F18,6&lt;=$H18),1,"")</f>
        <v/>
      </c>
      <c r="T18" s="9" t="str">
        <f aca="false">IF(AND(7&gt;=$F18,7&lt;=$H18),1,"")</f>
        <v/>
      </c>
      <c r="U18" s="9" t="str">
        <f aca="false">IF(AND(8&gt;=$F18,8&lt;=$H18),1,"")</f>
        <v/>
      </c>
      <c r="V18" s="9" t="str">
        <f aca="false">IF(AND(9&gt;=$F18,9&lt;=$H18),1,"")</f>
        <v/>
      </c>
      <c r="W18" s="9" t="str">
        <f aca="false">IF(AND(10&gt;=$F18,10&lt;=$H18),1,"")</f>
        <v/>
      </c>
      <c r="X18" s="9" t="str">
        <f aca="false">IF(AND(11&gt;=$F18,11&lt;=$H18),1,"")</f>
        <v/>
      </c>
      <c r="Y18" s="9" t="str">
        <f aca="false">IF(AND(12&gt;=$F18,12&lt;=$H18),1,"")</f>
        <v/>
      </c>
      <c r="Z18" s="9" t="str">
        <f aca="false">IF(AND(13&gt;=$F18,13&lt;=$H18),1,"")</f>
        <v/>
      </c>
      <c r="AA18" s="9" t="str">
        <f aca="false">IF(AND(14&gt;=$F18,14&lt;=$H18),1,"")</f>
        <v/>
      </c>
      <c r="AB18" s="9" t="str">
        <f aca="false">IF(AND(15&gt;=$F18,15&lt;=$H18),1,"")</f>
        <v/>
      </c>
      <c r="AC18" s="9" t="str">
        <f aca="false">IF(AND(16&gt;=$F18,16&lt;=$H18),1,"")</f>
        <v/>
      </c>
      <c r="AD18" s="9" t="str">
        <f aca="false">IF(AND(17&gt;=$F18,17&lt;=$H18),1,"")</f>
        <v/>
      </c>
      <c r="AE18" s="9" t="str">
        <f aca="false">IF(AND(18&gt;=$F18,18&lt;=$H18),1,"")</f>
        <v/>
      </c>
      <c r="AF18" s="9" t="str">
        <f aca="false">IF(AND(19&gt;=$F18,19&lt;=$H18),1,"")</f>
        <v/>
      </c>
      <c r="AG18" s="9" t="str">
        <f aca="false">IF(AND(20&gt;=$F18,20&lt;=$H18),1,"")</f>
        <v/>
      </c>
      <c r="AH18" s="9" t="str">
        <f aca="false">IF(AND(21&gt;=$F18,21&lt;=$H18),1,"")</f>
        <v/>
      </c>
      <c r="AI18" s="9" t="str">
        <f aca="false">IF(AND(22&gt;=$F18,22&lt;=$H18),1,"")</f>
        <v/>
      </c>
      <c r="AJ18" s="9" t="str">
        <f aca="false">IF(AND(23&gt;=$F18,23&lt;=$H18),1,"")</f>
        <v/>
      </c>
      <c r="AK18" s="9" t="str">
        <f aca="false">IF(AND(24&gt;=$F18,24&lt;=$H18),1,"")</f>
        <v/>
      </c>
      <c r="AL18" s="9" t="str">
        <f aca="false">IF(AND(25&gt;=$F18,25&lt;=$H18),1,"")</f>
        <v/>
      </c>
      <c r="AM18" s="9" t="str">
        <f aca="false">IF(AND(26&gt;=$F18,26&lt;=$H18),1,"")</f>
        <v/>
      </c>
    </row>
    <row r="19" customFormat="false" ht="28.35" hidden="false" customHeight="false" outlineLevel="0" collapsed="false">
      <c r="A19" s="4" t="s">
        <v>113</v>
      </c>
      <c r="B19" s="4" t="s">
        <v>95</v>
      </c>
      <c r="C19" s="4" t="s">
        <v>114</v>
      </c>
      <c r="D19" s="4" t="s">
        <v>44</v>
      </c>
      <c r="E19" s="4" t="s">
        <v>48</v>
      </c>
      <c r="F19" s="5" t="n">
        <v>3</v>
      </c>
      <c r="G19" s="5" t="n">
        <v>3</v>
      </c>
      <c r="H19" s="6" t="n">
        <f aca="false">F19+G19-1</f>
        <v>5</v>
      </c>
      <c r="I19" s="7" t="n">
        <v>0</v>
      </c>
      <c r="J19" s="4" t="s">
        <v>52</v>
      </c>
      <c r="K19" s="4" t="s">
        <v>115</v>
      </c>
      <c r="L19" s="4" t="s">
        <v>116</v>
      </c>
      <c r="M19" s="8" t="s">
        <v>49</v>
      </c>
      <c r="N19" s="9" t="str">
        <f aca="false">IF(AND(1&gt;=$F19,1&lt;=$H19),1,"")</f>
        <v/>
      </c>
      <c r="O19" s="9" t="str">
        <f aca="false">IF(AND(2&gt;=$F19,2&lt;=$H19),1,"")</f>
        <v/>
      </c>
      <c r="P19" s="9" t="n">
        <f aca="false">IF(AND(3&gt;=$F19,3&lt;=$H19),1,"")</f>
        <v>1</v>
      </c>
      <c r="Q19" s="9" t="n">
        <f aca="false">IF(AND(4&gt;=$F19,4&lt;=$H19),1,"")</f>
        <v>1</v>
      </c>
      <c r="R19" s="9" t="n">
        <f aca="false">IF(AND(5&gt;=$F19,5&lt;=$H19),1,"")</f>
        <v>1</v>
      </c>
      <c r="S19" s="9" t="str">
        <f aca="false">IF(AND(6&gt;=$F19,6&lt;=$H19),1,"")</f>
        <v/>
      </c>
      <c r="T19" s="9" t="str">
        <f aca="false">IF(AND(7&gt;=$F19,7&lt;=$H19),1,"")</f>
        <v/>
      </c>
      <c r="U19" s="9" t="str">
        <f aca="false">IF(AND(8&gt;=$F19,8&lt;=$H19),1,"")</f>
        <v/>
      </c>
      <c r="V19" s="9" t="str">
        <f aca="false">IF(AND(9&gt;=$F19,9&lt;=$H19),1,"")</f>
        <v/>
      </c>
      <c r="W19" s="9" t="str">
        <f aca="false">IF(AND(10&gt;=$F19,10&lt;=$H19),1,"")</f>
        <v/>
      </c>
      <c r="X19" s="9" t="str">
        <f aca="false">IF(AND(11&gt;=$F19,11&lt;=$H19),1,"")</f>
        <v/>
      </c>
      <c r="Y19" s="9" t="str">
        <f aca="false">IF(AND(12&gt;=$F19,12&lt;=$H19),1,"")</f>
        <v/>
      </c>
      <c r="Z19" s="9" t="str">
        <f aca="false">IF(AND(13&gt;=$F19,13&lt;=$H19),1,"")</f>
        <v/>
      </c>
      <c r="AA19" s="9" t="str">
        <f aca="false">IF(AND(14&gt;=$F19,14&lt;=$H19),1,"")</f>
        <v/>
      </c>
      <c r="AB19" s="9" t="str">
        <f aca="false">IF(AND(15&gt;=$F19,15&lt;=$H19),1,"")</f>
        <v/>
      </c>
      <c r="AC19" s="9" t="str">
        <f aca="false">IF(AND(16&gt;=$F19,16&lt;=$H19),1,"")</f>
        <v/>
      </c>
      <c r="AD19" s="9" t="str">
        <f aca="false">IF(AND(17&gt;=$F19,17&lt;=$H19),1,"")</f>
        <v/>
      </c>
      <c r="AE19" s="9" t="str">
        <f aca="false">IF(AND(18&gt;=$F19,18&lt;=$H19),1,"")</f>
        <v/>
      </c>
      <c r="AF19" s="9" t="str">
        <f aca="false">IF(AND(19&gt;=$F19,19&lt;=$H19),1,"")</f>
        <v/>
      </c>
      <c r="AG19" s="9" t="str">
        <f aca="false">IF(AND(20&gt;=$F19,20&lt;=$H19),1,"")</f>
        <v/>
      </c>
      <c r="AH19" s="9" t="str">
        <f aca="false">IF(AND(21&gt;=$F19,21&lt;=$H19),1,"")</f>
        <v/>
      </c>
      <c r="AI19" s="9" t="str">
        <f aca="false">IF(AND(22&gt;=$F19,22&lt;=$H19),1,"")</f>
        <v/>
      </c>
      <c r="AJ19" s="9" t="str">
        <f aca="false">IF(AND(23&gt;=$F19,23&lt;=$H19),1,"")</f>
        <v/>
      </c>
      <c r="AK19" s="9" t="str">
        <f aca="false">IF(AND(24&gt;=$F19,24&lt;=$H19),1,"")</f>
        <v/>
      </c>
      <c r="AL19" s="9" t="str">
        <f aca="false">IF(AND(25&gt;=$F19,25&lt;=$H19),1,"")</f>
        <v/>
      </c>
      <c r="AM19" s="9" t="str">
        <f aca="false">IF(AND(26&gt;=$F19,26&lt;=$H19),1,"")</f>
        <v/>
      </c>
    </row>
    <row r="20" customFormat="false" ht="15" hidden="false" customHeight="false" outlineLevel="0" collapsed="false">
      <c r="A20" s="4" t="s">
        <v>117</v>
      </c>
      <c r="B20" s="4" t="s">
        <v>95</v>
      </c>
      <c r="C20" s="4" t="s">
        <v>118</v>
      </c>
      <c r="D20" s="4" t="s">
        <v>119</v>
      </c>
      <c r="E20" s="4" t="s">
        <v>120</v>
      </c>
      <c r="F20" s="5" t="n">
        <v>12</v>
      </c>
      <c r="G20" s="5" t="n">
        <v>3</v>
      </c>
      <c r="H20" s="6" t="n">
        <f aca="false">F20+G20-1</f>
        <v>14</v>
      </c>
      <c r="I20" s="7" t="n">
        <v>900</v>
      </c>
      <c r="J20" s="4" t="s">
        <v>104</v>
      </c>
      <c r="K20" s="4" t="s">
        <v>121</v>
      </c>
      <c r="L20" s="4" t="s">
        <v>48</v>
      </c>
      <c r="M20" s="10" t="s">
        <v>61</v>
      </c>
      <c r="N20" s="9" t="str">
        <f aca="false">IF(AND(1&gt;=$F20,1&lt;=$H20),1,"")</f>
        <v/>
      </c>
      <c r="O20" s="9" t="str">
        <f aca="false">IF(AND(2&gt;=$F20,2&lt;=$H20),1,"")</f>
        <v/>
      </c>
      <c r="P20" s="9" t="str">
        <f aca="false">IF(AND(3&gt;=$F20,3&lt;=$H20),1,"")</f>
        <v/>
      </c>
      <c r="Q20" s="9" t="str">
        <f aca="false">IF(AND(4&gt;=$F20,4&lt;=$H20),1,"")</f>
        <v/>
      </c>
      <c r="R20" s="9" t="str">
        <f aca="false">IF(AND(5&gt;=$F20,5&lt;=$H20),1,"")</f>
        <v/>
      </c>
      <c r="S20" s="9" t="str">
        <f aca="false">IF(AND(6&gt;=$F20,6&lt;=$H20),1,"")</f>
        <v/>
      </c>
      <c r="T20" s="9" t="str">
        <f aca="false">IF(AND(7&gt;=$F20,7&lt;=$H20),1,"")</f>
        <v/>
      </c>
      <c r="U20" s="9" t="str">
        <f aca="false">IF(AND(8&gt;=$F20,8&lt;=$H20),1,"")</f>
        <v/>
      </c>
      <c r="V20" s="9" t="str">
        <f aca="false">IF(AND(9&gt;=$F20,9&lt;=$H20),1,"")</f>
        <v/>
      </c>
      <c r="W20" s="9" t="str">
        <f aca="false">IF(AND(10&gt;=$F20,10&lt;=$H20),1,"")</f>
        <v/>
      </c>
      <c r="X20" s="9" t="str">
        <f aca="false">IF(AND(11&gt;=$F20,11&lt;=$H20),1,"")</f>
        <v/>
      </c>
      <c r="Y20" s="9" t="n">
        <f aca="false">IF(AND(12&gt;=$F20,12&lt;=$H20),1,"")</f>
        <v>1</v>
      </c>
      <c r="Z20" s="9" t="n">
        <f aca="false">IF(AND(13&gt;=$F20,13&lt;=$H20),1,"")</f>
        <v>1</v>
      </c>
      <c r="AA20" s="9" t="n">
        <f aca="false">IF(AND(14&gt;=$F20,14&lt;=$H20),1,"")</f>
        <v>1</v>
      </c>
      <c r="AB20" s="9" t="str">
        <f aca="false">IF(AND(15&gt;=$F20,15&lt;=$H20),1,"")</f>
        <v/>
      </c>
      <c r="AC20" s="9" t="str">
        <f aca="false">IF(AND(16&gt;=$F20,16&lt;=$H20),1,"")</f>
        <v/>
      </c>
      <c r="AD20" s="9" t="str">
        <f aca="false">IF(AND(17&gt;=$F20,17&lt;=$H20),1,"")</f>
        <v/>
      </c>
      <c r="AE20" s="9" t="str">
        <f aca="false">IF(AND(18&gt;=$F20,18&lt;=$H20),1,"")</f>
        <v/>
      </c>
      <c r="AF20" s="9" t="str">
        <f aca="false">IF(AND(19&gt;=$F20,19&lt;=$H20),1,"")</f>
        <v/>
      </c>
      <c r="AG20" s="9" t="str">
        <f aca="false">IF(AND(20&gt;=$F20,20&lt;=$H20),1,"")</f>
        <v/>
      </c>
      <c r="AH20" s="9" t="str">
        <f aca="false">IF(AND(21&gt;=$F20,21&lt;=$H20),1,"")</f>
        <v/>
      </c>
      <c r="AI20" s="9" t="str">
        <f aca="false">IF(AND(22&gt;=$F20,22&lt;=$H20),1,"")</f>
        <v/>
      </c>
      <c r="AJ20" s="9" t="str">
        <f aca="false">IF(AND(23&gt;=$F20,23&lt;=$H20),1,"")</f>
        <v/>
      </c>
      <c r="AK20" s="9" t="str">
        <f aca="false">IF(AND(24&gt;=$F20,24&lt;=$H20),1,"")</f>
        <v/>
      </c>
      <c r="AL20" s="9" t="str">
        <f aca="false">IF(AND(25&gt;=$F20,25&lt;=$H20),1,"")</f>
        <v/>
      </c>
      <c r="AM20" s="9" t="str">
        <f aca="false">IF(AND(26&gt;=$F20,26&lt;=$H20),1,"")</f>
        <v/>
      </c>
    </row>
    <row r="21" customFormat="false" ht="28.35" hidden="false" customHeight="false" outlineLevel="0" collapsed="false">
      <c r="A21" s="4" t="s">
        <v>122</v>
      </c>
      <c r="B21" s="4" t="s">
        <v>81</v>
      </c>
      <c r="C21" s="4" t="s">
        <v>123</v>
      </c>
      <c r="D21" s="4" t="s">
        <v>124</v>
      </c>
      <c r="E21" s="4" t="s">
        <v>125</v>
      </c>
      <c r="F21" s="5" t="n">
        <v>3</v>
      </c>
      <c r="G21" s="5" t="n">
        <v>4</v>
      </c>
      <c r="H21" s="6" t="n">
        <f aca="false">F21+G21-1</f>
        <v>6</v>
      </c>
      <c r="I21" s="7" t="n">
        <v>900</v>
      </c>
      <c r="J21" s="4" t="s">
        <v>46</v>
      </c>
      <c r="K21" s="4" t="s">
        <v>126</v>
      </c>
      <c r="L21" s="4" t="s">
        <v>127</v>
      </c>
      <c r="M21" s="8" t="s">
        <v>49</v>
      </c>
      <c r="N21" s="9" t="str">
        <f aca="false">IF(AND(1&gt;=$F21,1&lt;=$H21),1,"")</f>
        <v/>
      </c>
      <c r="O21" s="9" t="str">
        <f aca="false">IF(AND(2&gt;=$F21,2&lt;=$H21),1,"")</f>
        <v/>
      </c>
      <c r="P21" s="9" t="n">
        <f aca="false">IF(AND(3&gt;=$F21,3&lt;=$H21),1,"")</f>
        <v>1</v>
      </c>
      <c r="Q21" s="9" t="n">
        <f aca="false">IF(AND(4&gt;=$F21,4&lt;=$H21),1,"")</f>
        <v>1</v>
      </c>
      <c r="R21" s="9" t="n">
        <f aca="false">IF(AND(5&gt;=$F21,5&lt;=$H21),1,"")</f>
        <v>1</v>
      </c>
      <c r="S21" s="9" t="n">
        <f aca="false">IF(AND(6&gt;=$F21,6&lt;=$H21),1,"")</f>
        <v>1</v>
      </c>
      <c r="T21" s="9" t="str">
        <f aca="false">IF(AND(7&gt;=$F21,7&lt;=$H21),1,"")</f>
        <v/>
      </c>
      <c r="U21" s="9" t="str">
        <f aca="false">IF(AND(8&gt;=$F21,8&lt;=$H21),1,"")</f>
        <v/>
      </c>
      <c r="V21" s="9" t="str">
        <f aca="false">IF(AND(9&gt;=$F21,9&lt;=$H21),1,"")</f>
        <v/>
      </c>
      <c r="W21" s="9" t="str">
        <f aca="false">IF(AND(10&gt;=$F21,10&lt;=$H21),1,"")</f>
        <v/>
      </c>
      <c r="X21" s="9" t="str">
        <f aca="false">IF(AND(11&gt;=$F21,11&lt;=$H21),1,"")</f>
        <v/>
      </c>
      <c r="Y21" s="9" t="str">
        <f aca="false">IF(AND(12&gt;=$F21,12&lt;=$H21),1,"")</f>
        <v/>
      </c>
      <c r="Z21" s="9" t="str">
        <f aca="false">IF(AND(13&gt;=$F21,13&lt;=$H21),1,"")</f>
        <v/>
      </c>
      <c r="AA21" s="9" t="str">
        <f aca="false">IF(AND(14&gt;=$F21,14&lt;=$H21),1,"")</f>
        <v/>
      </c>
      <c r="AB21" s="9" t="str">
        <f aca="false">IF(AND(15&gt;=$F21,15&lt;=$H21),1,"")</f>
        <v/>
      </c>
      <c r="AC21" s="9" t="str">
        <f aca="false">IF(AND(16&gt;=$F21,16&lt;=$H21),1,"")</f>
        <v/>
      </c>
      <c r="AD21" s="9" t="str">
        <f aca="false">IF(AND(17&gt;=$F21,17&lt;=$H21),1,"")</f>
        <v/>
      </c>
      <c r="AE21" s="9" t="str">
        <f aca="false">IF(AND(18&gt;=$F21,18&lt;=$H21),1,"")</f>
        <v/>
      </c>
      <c r="AF21" s="9" t="str">
        <f aca="false">IF(AND(19&gt;=$F21,19&lt;=$H21),1,"")</f>
        <v/>
      </c>
      <c r="AG21" s="9" t="str">
        <f aca="false">IF(AND(20&gt;=$F21,20&lt;=$H21),1,"")</f>
        <v/>
      </c>
      <c r="AH21" s="9" t="str">
        <f aca="false">IF(AND(21&gt;=$F21,21&lt;=$H21),1,"")</f>
        <v/>
      </c>
      <c r="AI21" s="9" t="str">
        <f aca="false">IF(AND(22&gt;=$F21,22&lt;=$H21),1,"")</f>
        <v/>
      </c>
      <c r="AJ21" s="9" t="str">
        <f aca="false">IF(AND(23&gt;=$F21,23&lt;=$H21),1,"")</f>
        <v/>
      </c>
      <c r="AK21" s="9" t="str">
        <f aca="false">IF(AND(24&gt;=$F21,24&lt;=$H21),1,"")</f>
        <v/>
      </c>
      <c r="AL21" s="9" t="str">
        <f aca="false">IF(AND(25&gt;=$F21,25&lt;=$H21),1,"")</f>
        <v/>
      </c>
      <c r="AM21" s="9" t="str">
        <f aca="false">IF(AND(26&gt;=$F21,26&lt;=$H21),1,"")</f>
        <v/>
      </c>
    </row>
    <row r="22" customFormat="false" ht="15" hidden="false" customHeight="false" outlineLevel="0" collapsed="false">
      <c r="A22" s="4" t="s">
        <v>128</v>
      </c>
      <c r="B22" s="4" t="s">
        <v>81</v>
      </c>
      <c r="C22" s="4" t="s">
        <v>129</v>
      </c>
      <c r="D22" s="4" t="s">
        <v>124</v>
      </c>
      <c r="E22" s="4" t="s">
        <v>122</v>
      </c>
      <c r="F22" s="5" t="n">
        <v>8</v>
      </c>
      <c r="G22" s="5" t="n">
        <v>1</v>
      </c>
      <c r="H22" s="6" t="n">
        <f aca="false">F22+G22-1</f>
        <v>8</v>
      </c>
      <c r="I22" s="7" t="n">
        <v>1100</v>
      </c>
      <c r="J22" s="4" t="s">
        <v>46</v>
      </c>
      <c r="K22" s="4" t="s">
        <v>130</v>
      </c>
      <c r="L22" s="4" t="s">
        <v>48</v>
      </c>
      <c r="M22" s="8" t="s">
        <v>131</v>
      </c>
      <c r="N22" s="9" t="str">
        <f aca="false">IF(AND(1&gt;=$F22,1&lt;=$H22),1,"")</f>
        <v/>
      </c>
      <c r="O22" s="9" t="str">
        <f aca="false">IF(AND(2&gt;=$F22,2&lt;=$H22),1,"")</f>
        <v/>
      </c>
      <c r="P22" s="9" t="str">
        <f aca="false">IF(AND(3&gt;=$F22,3&lt;=$H22),1,"")</f>
        <v/>
      </c>
      <c r="Q22" s="9" t="str">
        <f aca="false">IF(AND(4&gt;=$F22,4&lt;=$H22),1,"")</f>
        <v/>
      </c>
      <c r="R22" s="9" t="str">
        <f aca="false">IF(AND(5&gt;=$F22,5&lt;=$H22),1,"")</f>
        <v/>
      </c>
      <c r="S22" s="9" t="str">
        <f aca="false">IF(AND(6&gt;=$F22,6&lt;=$H22),1,"")</f>
        <v/>
      </c>
      <c r="T22" s="9" t="str">
        <f aca="false">IF(AND(7&gt;=$F22,7&lt;=$H22),1,"")</f>
        <v/>
      </c>
      <c r="U22" s="9" t="n">
        <f aca="false">IF(AND(8&gt;=$F22,8&lt;=$H22),1,"")</f>
        <v>1</v>
      </c>
      <c r="V22" s="9" t="str">
        <f aca="false">IF(AND(9&gt;=$F22,9&lt;=$H22),1,"")</f>
        <v/>
      </c>
      <c r="W22" s="9" t="str">
        <f aca="false">IF(AND(10&gt;=$F22,10&lt;=$H22),1,"")</f>
        <v/>
      </c>
      <c r="X22" s="9" t="str">
        <f aca="false">IF(AND(11&gt;=$F22,11&lt;=$H22),1,"")</f>
        <v/>
      </c>
      <c r="Y22" s="9" t="str">
        <f aca="false">IF(AND(12&gt;=$F22,12&lt;=$H22),1,"")</f>
        <v/>
      </c>
      <c r="Z22" s="9" t="str">
        <f aca="false">IF(AND(13&gt;=$F22,13&lt;=$H22),1,"")</f>
        <v/>
      </c>
      <c r="AA22" s="9" t="str">
        <f aca="false">IF(AND(14&gt;=$F22,14&lt;=$H22),1,"")</f>
        <v/>
      </c>
      <c r="AB22" s="9" t="str">
        <f aca="false">IF(AND(15&gt;=$F22,15&lt;=$H22),1,"")</f>
        <v/>
      </c>
      <c r="AC22" s="9" t="str">
        <f aca="false">IF(AND(16&gt;=$F22,16&lt;=$H22),1,"")</f>
        <v/>
      </c>
      <c r="AD22" s="9" t="str">
        <f aca="false">IF(AND(17&gt;=$F22,17&lt;=$H22),1,"")</f>
        <v/>
      </c>
      <c r="AE22" s="9" t="str">
        <f aca="false">IF(AND(18&gt;=$F22,18&lt;=$H22),1,"")</f>
        <v/>
      </c>
      <c r="AF22" s="9" t="str">
        <f aca="false">IF(AND(19&gt;=$F22,19&lt;=$H22),1,"")</f>
        <v/>
      </c>
      <c r="AG22" s="9" t="str">
        <f aca="false">IF(AND(20&gt;=$F22,20&lt;=$H22),1,"")</f>
        <v/>
      </c>
      <c r="AH22" s="9" t="str">
        <f aca="false">IF(AND(21&gt;=$F22,21&lt;=$H22),1,"")</f>
        <v/>
      </c>
      <c r="AI22" s="9" t="str">
        <f aca="false">IF(AND(22&gt;=$F22,22&lt;=$H22),1,"")</f>
        <v/>
      </c>
      <c r="AJ22" s="9" t="str">
        <f aca="false">IF(AND(23&gt;=$F22,23&lt;=$H22),1,"")</f>
        <v/>
      </c>
      <c r="AK22" s="9" t="str">
        <f aca="false">IF(AND(24&gt;=$F22,24&lt;=$H22),1,"")</f>
        <v/>
      </c>
      <c r="AL22" s="9" t="str">
        <f aca="false">IF(AND(25&gt;=$F22,25&lt;=$H22),1,"")</f>
        <v/>
      </c>
      <c r="AM22" s="9" t="str">
        <f aca="false">IF(AND(26&gt;=$F22,26&lt;=$H22),1,"")</f>
        <v/>
      </c>
    </row>
    <row r="23" customFormat="false" ht="15" hidden="false" customHeight="false" outlineLevel="0" collapsed="false">
      <c r="A23" s="4" t="s">
        <v>132</v>
      </c>
      <c r="B23" s="4" t="s">
        <v>81</v>
      </c>
      <c r="C23" s="4" t="s">
        <v>133</v>
      </c>
      <c r="D23" s="4" t="s">
        <v>134</v>
      </c>
      <c r="E23" s="4" t="s">
        <v>62</v>
      </c>
      <c r="F23" s="5" t="n">
        <v>9</v>
      </c>
      <c r="G23" s="5" t="n">
        <v>4</v>
      </c>
      <c r="H23" s="6" t="n">
        <f aca="false">F23+G23-1</f>
        <v>12</v>
      </c>
      <c r="I23" s="7" t="n">
        <v>0</v>
      </c>
      <c r="J23" s="4" t="s">
        <v>46</v>
      </c>
      <c r="K23" s="4" t="s">
        <v>135</v>
      </c>
      <c r="L23" s="4" t="s">
        <v>136</v>
      </c>
      <c r="M23" s="10" t="s">
        <v>61</v>
      </c>
      <c r="N23" s="9" t="str">
        <f aca="false">IF(AND(1&gt;=$F23,1&lt;=$H23),1,"")</f>
        <v/>
      </c>
      <c r="O23" s="9" t="str">
        <f aca="false">IF(AND(2&gt;=$F23,2&lt;=$H23),1,"")</f>
        <v/>
      </c>
      <c r="P23" s="9" t="str">
        <f aca="false">IF(AND(3&gt;=$F23,3&lt;=$H23),1,"")</f>
        <v/>
      </c>
      <c r="Q23" s="9" t="str">
        <f aca="false">IF(AND(4&gt;=$F23,4&lt;=$H23),1,"")</f>
        <v/>
      </c>
      <c r="R23" s="9" t="str">
        <f aca="false">IF(AND(5&gt;=$F23,5&lt;=$H23),1,"")</f>
        <v/>
      </c>
      <c r="S23" s="9" t="str">
        <f aca="false">IF(AND(6&gt;=$F23,6&lt;=$H23),1,"")</f>
        <v/>
      </c>
      <c r="T23" s="9" t="str">
        <f aca="false">IF(AND(7&gt;=$F23,7&lt;=$H23),1,"")</f>
        <v/>
      </c>
      <c r="U23" s="9" t="str">
        <f aca="false">IF(AND(8&gt;=$F23,8&lt;=$H23),1,"")</f>
        <v/>
      </c>
      <c r="V23" s="9" t="n">
        <f aca="false">IF(AND(9&gt;=$F23,9&lt;=$H23),1,"")</f>
        <v>1</v>
      </c>
      <c r="W23" s="9" t="n">
        <f aca="false">IF(AND(10&gt;=$F23,10&lt;=$H23),1,"")</f>
        <v>1</v>
      </c>
      <c r="X23" s="9" t="n">
        <f aca="false">IF(AND(11&gt;=$F23,11&lt;=$H23),1,"")</f>
        <v>1</v>
      </c>
      <c r="Y23" s="9" t="n">
        <f aca="false">IF(AND(12&gt;=$F23,12&lt;=$H23),1,"")</f>
        <v>1</v>
      </c>
      <c r="Z23" s="9" t="str">
        <f aca="false">IF(AND(13&gt;=$F23,13&lt;=$H23),1,"")</f>
        <v/>
      </c>
      <c r="AA23" s="9" t="str">
        <f aca="false">IF(AND(14&gt;=$F23,14&lt;=$H23),1,"")</f>
        <v/>
      </c>
      <c r="AB23" s="9" t="str">
        <f aca="false">IF(AND(15&gt;=$F23,15&lt;=$H23),1,"")</f>
        <v/>
      </c>
      <c r="AC23" s="9" t="str">
        <f aca="false">IF(AND(16&gt;=$F23,16&lt;=$H23),1,"")</f>
        <v/>
      </c>
      <c r="AD23" s="9" t="str">
        <f aca="false">IF(AND(17&gt;=$F23,17&lt;=$H23),1,"")</f>
        <v/>
      </c>
      <c r="AE23" s="9" t="str">
        <f aca="false">IF(AND(18&gt;=$F23,18&lt;=$H23),1,"")</f>
        <v/>
      </c>
      <c r="AF23" s="9" t="str">
        <f aca="false">IF(AND(19&gt;=$F23,19&lt;=$H23),1,"")</f>
        <v/>
      </c>
      <c r="AG23" s="9" t="str">
        <f aca="false">IF(AND(20&gt;=$F23,20&lt;=$H23),1,"")</f>
        <v/>
      </c>
      <c r="AH23" s="9" t="str">
        <f aca="false">IF(AND(21&gt;=$F23,21&lt;=$H23),1,"")</f>
        <v/>
      </c>
      <c r="AI23" s="9" t="str">
        <f aca="false">IF(AND(22&gt;=$F23,22&lt;=$H23),1,"")</f>
        <v/>
      </c>
      <c r="AJ23" s="9" t="str">
        <f aca="false">IF(AND(23&gt;=$F23,23&lt;=$H23),1,"")</f>
        <v/>
      </c>
      <c r="AK23" s="9" t="str">
        <f aca="false">IF(AND(24&gt;=$F23,24&lt;=$H23),1,"")</f>
        <v/>
      </c>
      <c r="AL23" s="9" t="str">
        <f aca="false">IF(AND(25&gt;=$F23,25&lt;=$H23),1,"")</f>
        <v/>
      </c>
      <c r="AM23" s="9" t="str">
        <f aca="false">IF(AND(26&gt;=$F23,26&lt;=$H23),1,"")</f>
        <v/>
      </c>
    </row>
    <row r="24" customFormat="false" ht="15" hidden="false" customHeight="false" outlineLevel="0" collapsed="false">
      <c r="A24" s="4" t="s">
        <v>137</v>
      </c>
      <c r="B24" s="4" t="s">
        <v>81</v>
      </c>
      <c r="C24" s="4" t="s">
        <v>138</v>
      </c>
      <c r="D24" s="4" t="s">
        <v>139</v>
      </c>
      <c r="E24" s="4" t="s">
        <v>132</v>
      </c>
      <c r="F24" s="5" t="n">
        <v>13</v>
      </c>
      <c r="G24" s="5" t="n">
        <v>6</v>
      </c>
      <c r="H24" s="6" t="n">
        <f aca="false">F24+G24-1</f>
        <v>18</v>
      </c>
      <c r="I24" s="7" t="n">
        <v>1500</v>
      </c>
      <c r="J24" s="4" t="s">
        <v>52</v>
      </c>
      <c r="K24" s="4" t="s">
        <v>140</v>
      </c>
      <c r="L24" s="4" t="s">
        <v>141</v>
      </c>
      <c r="M24" s="10" t="s">
        <v>61</v>
      </c>
      <c r="N24" s="9" t="str">
        <f aca="false">IF(AND(1&gt;=$F24,1&lt;=$H24),1,"")</f>
        <v/>
      </c>
      <c r="O24" s="9" t="str">
        <f aca="false">IF(AND(2&gt;=$F24,2&lt;=$H24),1,"")</f>
        <v/>
      </c>
      <c r="P24" s="9" t="str">
        <f aca="false">IF(AND(3&gt;=$F24,3&lt;=$H24),1,"")</f>
        <v/>
      </c>
      <c r="Q24" s="9" t="str">
        <f aca="false">IF(AND(4&gt;=$F24,4&lt;=$H24),1,"")</f>
        <v/>
      </c>
      <c r="R24" s="9" t="str">
        <f aca="false">IF(AND(5&gt;=$F24,5&lt;=$H24),1,"")</f>
        <v/>
      </c>
      <c r="S24" s="9" t="str">
        <f aca="false">IF(AND(6&gt;=$F24,6&lt;=$H24),1,"")</f>
        <v/>
      </c>
      <c r="T24" s="9" t="str">
        <f aca="false">IF(AND(7&gt;=$F24,7&lt;=$H24),1,"")</f>
        <v/>
      </c>
      <c r="U24" s="9" t="str">
        <f aca="false">IF(AND(8&gt;=$F24,8&lt;=$H24),1,"")</f>
        <v/>
      </c>
      <c r="V24" s="9" t="str">
        <f aca="false">IF(AND(9&gt;=$F24,9&lt;=$H24),1,"")</f>
        <v/>
      </c>
      <c r="W24" s="9" t="str">
        <f aca="false">IF(AND(10&gt;=$F24,10&lt;=$H24),1,"")</f>
        <v/>
      </c>
      <c r="X24" s="9" t="str">
        <f aca="false">IF(AND(11&gt;=$F24,11&lt;=$H24),1,"")</f>
        <v/>
      </c>
      <c r="Y24" s="9" t="str">
        <f aca="false">IF(AND(12&gt;=$F24,12&lt;=$H24),1,"")</f>
        <v/>
      </c>
      <c r="Z24" s="9" t="n">
        <f aca="false">IF(AND(13&gt;=$F24,13&lt;=$H24),1,"")</f>
        <v>1</v>
      </c>
      <c r="AA24" s="9" t="n">
        <f aca="false">IF(AND(14&gt;=$F24,14&lt;=$H24),1,"")</f>
        <v>1</v>
      </c>
      <c r="AB24" s="9" t="n">
        <f aca="false">IF(AND(15&gt;=$F24,15&lt;=$H24),1,"")</f>
        <v>1</v>
      </c>
      <c r="AC24" s="9" t="n">
        <f aca="false">IF(AND(16&gt;=$F24,16&lt;=$H24),1,"")</f>
        <v>1</v>
      </c>
      <c r="AD24" s="9" t="n">
        <f aca="false">IF(AND(17&gt;=$F24,17&lt;=$H24),1,"")</f>
        <v>1</v>
      </c>
      <c r="AE24" s="9" t="n">
        <f aca="false">IF(AND(18&gt;=$F24,18&lt;=$H24),1,"")</f>
        <v>1</v>
      </c>
      <c r="AF24" s="9" t="str">
        <f aca="false">IF(AND(19&gt;=$F24,19&lt;=$H24),1,"")</f>
        <v/>
      </c>
      <c r="AG24" s="9" t="str">
        <f aca="false">IF(AND(20&gt;=$F24,20&lt;=$H24),1,"")</f>
        <v/>
      </c>
      <c r="AH24" s="9" t="str">
        <f aca="false">IF(AND(21&gt;=$F24,21&lt;=$H24),1,"")</f>
        <v/>
      </c>
      <c r="AI24" s="9" t="str">
        <f aca="false">IF(AND(22&gt;=$F24,22&lt;=$H24),1,"")</f>
        <v/>
      </c>
      <c r="AJ24" s="9" t="str">
        <f aca="false">IF(AND(23&gt;=$F24,23&lt;=$H24),1,"")</f>
        <v/>
      </c>
      <c r="AK24" s="9" t="str">
        <f aca="false">IF(AND(24&gt;=$F24,24&lt;=$H24),1,"")</f>
        <v/>
      </c>
      <c r="AL24" s="9" t="str">
        <f aca="false">IF(AND(25&gt;=$F24,25&lt;=$H24),1,"")</f>
        <v/>
      </c>
      <c r="AM24" s="9" t="str">
        <f aca="false">IF(AND(26&gt;=$F24,26&lt;=$H24),1,"")</f>
        <v/>
      </c>
    </row>
    <row r="25" customFormat="false" ht="41.75" hidden="false" customHeight="false" outlineLevel="0" collapsed="false">
      <c r="A25" s="4" t="s">
        <v>142</v>
      </c>
      <c r="B25" s="4" t="s">
        <v>81</v>
      </c>
      <c r="C25" s="4" t="s">
        <v>143</v>
      </c>
      <c r="D25" s="4" t="s">
        <v>144</v>
      </c>
      <c r="E25" s="4" t="s">
        <v>145</v>
      </c>
      <c r="F25" s="5" t="n">
        <v>12</v>
      </c>
      <c r="G25" s="5" t="n">
        <v>6</v>
      </c>
      <c r="H25" s="6" t="n">
        <f aca="false">F25+G25-1</f>
        <v>17</v>
      </c>
      <c r="I25" s="7" t="n">
        <v>4000</v>
      </c>
      <c r="J25" s="4" t="s">
        <v>46</v>
      </c>
      <c r="K25" s="4" t="s">
        <v>146</v>
      </c>
      <c r="L25" s="4" t="s">
        <v>147</v>
      </c>
      <c r="M25" s="10" t="s">
        <v>148</v>
      </c>
      <c r="N25" s="9" t="str">
        <f aca="false">IF(AND(1&gt;=$F25,1&lt;=$H25),1,"")</f>
        <v/>
      </c>
      <c r="O25" s="9" t="str">
        <f aca="false">IF(AND(2&gt;=$F25,2&lt;=$H25),1,"")</f>
        <v/>
      </c>
      <c r="P25" s="9" t="str">
        <f aca="false">IF(AND(3&gt;=$F25,3&lt;=$H25),1,"")</f>
        <v/>
      </c>
      <c r="Q25" s="9" t="str">
        <f aca="false">IF(AND(4&gt;=$F25,4&lt;=$H25),1,"")</f>
        <v/>
      </c>
      <c r="R25" s="9" t="str">
        <f aca="false">IF(AND(5&gt;=$F25,5&lt;=$H25),1,"")</f>
        <v/>
      </c>
      <c r="S25" s="9" t="str">
        <f aca="false">IF(AND(6&gt;=$F25,6&lt;=$H25),1,"")</f>
        <v/>
      </c>
      <c r="T25" s="9" t="str">
        <f aca="false">IF(AND(7&gt;=$F25,7&lt;=$H25),1,"")</f>
        <v/>
      </c>
      <c r="U25" s="9" t="str">
        <f aca="false">IF(AND(8&gt;=$F25,8&lt;=$H25),1,"")</f>
        <v/>
      </c>
      <c r="V25" s="9" t="str">
        <f aca="false">IF(AND(9&gt;=$F25,9&lt;=$H25),1,"")</f>
        <v/>
      </c>
      <c r="W25" s="9" t="str">
        <f aca="false">IF(AND(10&gt;=$F25,10&lt;=$H25),1,"")</f>
        <v/>
      </c>
      <c r="X25" s="9" t="str">
        <f aca="false">IF(AND(11&gt;=$F25,11&lt;=$H25),1,"")</f>
        <v/>
      </c>
      <c r="Y25" s="9" t="n">
        <f aca="false">IF(AND(12&gt;=$F25,12&lt;=$H25),1,"")</f>
        <v>1</v>
      </c>
      <c r="Z25" s="9" t="n">
        <f aca="false">IF(AND(13&gt;=$F25,13&lt;=$H25),1,"")</f>
        <v>1</v>
      </c>
      <c r="AA25" s="9" t="n">
        <f aca="false">IF(AND(14&gt;=$F25,14&lt;=$H25),1,"")</f>
        <v>1</v>
      </c>
      <c r="AB25" s="9" t="n">
        <f aca="false">IF(AND(15&gt;=$F25,15&lt;=$H25),1,"")</f>
        <v>1</v>
      </c>
      <c r="AC25" s="9" t="n">
        <f aca="false">IF(AND(16&gt;=$F25,16&lt;=$H25),1,"")</f>
        <v>1</v>
      </c>
      <c r="AD25" s="9" t="n">
        <f aca="false">IF(AND(17&gt;=$F25,17&lt;=$H25),1,"")</f>
        <v>1</v>
      </c>
      <c r="AE25" s="9" t="str">
        <f aca="false">IF(AND(18&gt;=$F25,18&lt;=$H25),1,"")</f>
        <v/>
      </c>
      <c r="AF25" s="9" t="str">
        <f aca="false">IF(AND(19&gt;=$F25,19&lt;=$H25),1,"")</f>
        <v/>
      </c>
      <c r="AG25" s="9" t="str">
        <f aca="false">IF(AND(20&gt;=$F25,20&lt;=$H25),1,"")</f>
        <v/>
      </c>
      <c r="AH25" s="9" t="str">
        <f aca="false">IF(AND(21&gt;=$F25,21&lt;=$H25),1,"")</f>
        <v/>
      </c>
      <c r="AI25" s="9" t="str">
        <f aca="false">IF(AND(22&gt;=$F25,22&lt;=$H25),1,"")</f>
        <v/>
      </c>
      <c r="AJ25" s="9" t="str">
        <f aca="false">IF(AND(23&gt;=$F25,23&lt;=$H25),1,"")</f>
        <v/>
      </c>
      <c r="AK25" s="9" t="str">
        <f aca="false">IF(AND(24&gt;=$F25,24&lt;=$H25),1,"")</f>
        <v/>
      </c>
      <c r="AL25" s="9" t="str">
        <f aca="false">IF(AND(25&gt;=$F25,25&lt;=$H25),1,"")</f>
        <v/>
      </c>
      <c r="AM25" s="9" t="str">
        <f aca="false">IF(AND(26&gt;=$F25,26&lt;=$H25),1,"")</f>
        <v/>
      </c>
    </row>
    <row r="26" customFormat="false" ht="28.35" hidden="false" customHeight="false" outlineLevel="0" collapsed="false">
      <c r="A26" s="4" t="s">
        <v>149</v>
      </c>
      <c r="B26" s="4" t="s">
        <v>150</v>
      </c>
      <c r="C26" s="4" t="s">
        <v>151</v>
      </c>
      <c r="D26" s="4" t="s">
        <v>44</v>
      </c>
      <c r="E26" s="4" t="s">
        <v>89</v>
      </c>
      <c r="F26" s="5" t="n">
        <v>12</v>
      </c>
      <c r="G26" s="5" t="n">
        <v>3</v>
      </c>
      <c r="H26" s="6" t="n">
        <f aca="false">F26+G26-1</f>
        <v>14</v>
      </c>
      <c r="I26" s="7" t="n">
        <v>0</v>
      </c>
      <c r="J26" s="4" t="s">
        <v>52</v>
      </c>
      <c r="K26" s="4" t="s">
        <v>152</v>
      </c>
      <c r="L26" s="4" t="s">
        <v>153</v>
      </c>
      <c r="M26" s="10" t="s">
        <v>61</v>
      </c>
      <c r="N26" s="9" t="str">
        <f aca="false">IF(AND(1&gt;=$F26,1&lt;=$H26),1,"")</f>
        <v/>
      </c>
      <c r="O26" s="9" t="str">
        <f aca="false">IF(AND(2&gt;=$F26,2&lt;=$H26),1,"")</f>
        <v/>
      </c>
      <c r="P26" s="9" t="str">
        <f aca="false">IF(AND(3&gt;=$F26,3&lt;=$H26),1,"")</f>
        <v/>
      </c>
      <c r="Q26" s="9" t="str">
        <f aca="false">IF(AND(4&gt;=$F26,4&lt;=$H26),1,"")</f>
        <v/>
      </c>
      <c r="R26" s="9" t="str">
        <f aca="false">IF(AND(5&gt;=$F26,5&lt;=$H26),1,"")</f>
        <v/>
      </c>
      <c r="S26" s="9" t="str">
        <f aca="false">IF(AND(6&gt;=$F26,6&lt;=$H26),1,"")</f>
        <v/>
      </c>
      <c r="T26" s="9" t="str">
        <f aca="false">IF(AND(7&gt;=$F26,7&lt;=$H26),1,"")</f>
        <v/>
      </c>
      <c r="U26" s="9" t="str">
        <f aca="false">IF(AND(8&gt;=$F26,8&lt;=$H26),1,"")</f>
        <v/>
      </c>
      <c r="V26" s="9" t="str">
        <f aca="false">IF(AND(9&gt;=$F26,9&lt;=$H26),1,"")</f>
        <v/>
      </c>
      <c r="W26" s="9" t="str">
        <f aca="false">IF(AND(10&gt;=$F26,10&lt;=$H26),1,"")</f>
        <v/>
      </c>
      <c r="X26" s="9" t="str">
        <f aca="false">IF(AND(11&gt;=$F26,11&lt;=$H26),1,"")</f>
        <v/>
      </c>
      <c r="Y26" s="9" t="n">
        <f aca="false">IF(AND(12&gt;=$F26,12&lt;=$H26),1,"")</f>
        <v>1</v>
      </c>
      <c r="Z26" s="9" t="n">
        <f aca="false">IF(AND(13&gt;=$F26,13&lt;=$H26),1,"")</f>
        <v>1</v>
      </c>
      <c r="AA26" s="9" t="n">
        <f aca="false">IF(AND(14&gt;=$F26,14&lt;=$H26),1,"")</f>
        <v>1</v>
      </c>
      <c r="AB26" s="9" t="str">
        <f aca="false">IF(AND(15&gt;=$F26,15&lt;=$H26),1,"")</f>
        <v/>
      </c>
      <c r="AC26" s="9" t="str">
        <f aca="false">IF(AND(16&gt;=$F26,16&lt;=$H26),1,"")</f>
        <v/>
      </c>
      <c r="AD26" s="9" t="str">
        <f aca="false">IF(AND(17&gt;=$F26,17&lt;=$H26),1,"")</f>
        <v/>
      </c>
      <c r="AE26" s="9" t="str">
        <f aca="false">IF(AND(18&gt;=$F26,18&lt;=$H26),1,"")</f>
        <v/>
      </c>
      <c r="AF26" s="9" t="str">
        <f aca="false">IF(AND(19&gt;=$F26,19&lt;=$H26),1,"")</f>
        <v/>
      </c>
      <c r="AG26" s="9" t="str">
        <f aca="false">IF(AND(20&gt;=$F26,20&lt;=$H26),1,"")</f>
        <v/>
      </c>
      <c r="AH26" s="9" t="str">
        <f aca="false">IF(AND(21&gt;=$F26,21&lt;=$H26),1,"")</f>
        <v/>
      </c>
      <c r="AI26" s="9" t="str">
        <f aca="false">IF(AND(22&gt;=$F26,22&lt;=$H26),1,"")</f>
        <v/>
      </c>
      <c r="AJ26" s="9" t="str">
        <f aca="false">IF(AND(23&gt;=$F26,23&lt;=$H26),1,"")</f>
        <v/>
      </c>
      <c r="AK26" s="9" t="str">
        <f aca="false">IF(AND(24&gt;=$F26,24&lt;=$H26),1,"")</f>
        <v/>
      </c>
      <c r="AL26" s="9" t="str">
        <f aca="false">IF(AND(25&gt;=$F26,25&lt;=$H26),1,"")</f>
        <v/>
      </c>
      <c r="AM26" s="9" t="str">
        <f aca="false">IF(AND(26&gt;=$F26,26&lt;=$H26),1,"")</f>
        <v/>
      </c>
    </row>
    <row r="27" customFormat="false" ht="28.35" hidden="false" customHeight="false" outlineLevel="0" collapsed="false">
      <c r="A27" s="4" t="s">
        <v>154</v>
      </c>
      <c r="B27" s="4" t="s">
        <v>150</v>
      </c>
      <c r="C27" s="4" t="s">
        <v>155</v>
      </c>
      <c r="D27" s="4" t="s">
        <v>156</v>
      </c>
      <c r="E27" s="4" t="s">
        <v>149</v>
      </c>
      <c r="F27" s="5" t="n">
        <v>15</v>
      </c>
      <c r="G27" s="5" t="n">
        <v>4</v>
      </c>
      <c r="H27" s="6" t="n">
        <f aca="false">F27+G27-1</f>
        <v>18</v>
      </c>
      <c r="I27" s="7" t="n">
        <v>2000</v>
      </c>
      <c r="J27" s="4" t="s">
        <v>52</v>
      </c>
      <c r="K27" s="4" t="s">
        <v>157</v>
      </c>
      <c r="L27" s="4" t="s">
        <v>158</v>
      </c>
      <c r="M27" s="10" t="s">
        <v>61</v>
      </c>
      <c r="N27" s="9" t="str">
        <f aca="false">IF(AND(1&gt;=$F27,1&lt;=$H27),1,"")</f>
        <v/>
      </c>
      <c r="O27" s="9" t="str">
        <f aca="false">IF(AND(2&gt;=$F27,2&lt;=$H27),1,"")</f>
        <v/>
      </c>
      <c r="P27" s="9" t="str">
        <f aca="false">IF(AND(3&gt;=$F27,3&lt;=$H27),1,"")</f>
        <v/>
      </c>
      <c r="Q27" s="9" t="str">
        <f aca="false">IF(AND(4&gt;=$F27,4&lt;=$H27),1,"")</f>
        <v/>
      </c>
      <c r="R27" s="9" t="str">
        <f aca="false">IF(AND(5&gt;=$F27,5&lt;=$H27),1,"")</f>
        <v/>
      </c>
      <c r="S27" s="9" t="str">
        <f aca="false">IF(AND(6&gt;=$F27,6&lt;=$H27),1,"")</f>
        <v/>
      </c>
      <c r="T27" s="9" t="str">
        <f aca="false">IF(AND(7&gt;=$F27,7&lt;=$H27),1,"")</f>
        <v/>
      </c>
      <c r="U27" s="9" t="str">
        <f aca="false">IF(AND(8&gt;=$F27,8&lt;=$H27),1,"")</f>
        <v/>
      </c>
      <c r="V27" s="9" t="str">
        <f aca="false">IF(AND(9&gt;=$F27,9&lt;=$H27),1,"")</f>
        <v/>
      </c>
      <c r="W27" s="9" t="str">
        <f aca="false">IF(AND(10&gt;=$F27,10&lt;=$H27),1,"")</f>
        <v/>
      </c>
      <c r="X27" s="9" t="str">
        <f aca="false">IF(AND(11&gt;=$F27,11&lt;=$H27),1,"")</f>
        <v/>
      </c>
      <c r="Y27" s="9" t="str">
        <f aca="false">IF(AND(12&gt;=$F27,12&lt;=$H27),1,"")</f>
        <v/>
      </c>
      <c r="Z27" s="9" t="str">
        <f aca="false">IF(AND(13&gt;=$F27,13&lt;=$H27),1,"")</f>
        <v/>
      </c>
      <c r="AA27" s="9" t="str">
        <f aca="false">IF(AND(14&gt;=$F27,14&lt;=$H27),1,"")</f>
        <v/>
      </c>
      <c r="AB27" s="9" t="n">
        <f aca="false">IF(AND(15&gt;=$F27,15&lt;=$H27),1,"")</f>
        <v>1</v>
      </c>
      <c r="AC27" s="9" t="n">
        <f aca="false">IF(AND(16&gt;=$F27,16&lt;=$H27),1,"")</f>
        <v>1</v>
      </c>
      <c r="AD27" s="9" t="n">
        <f aca="false">IF(AND(17&gt;=$F27,17&lt;=$H27),1,"")</f>
        <v>1</v>
      </c>
      <c r="AE27" s="9" t="n">
        <f aca="false">IF(AND(18&gt;=$F27,18&lt;=$H27),1,"")</f>
        <v>1</v>
      </c>
      <c r="AF27" s="9" t="str">
        <f aca="false">IF(AND(19&gt;=$F27,19&lt;=$H27),1,"")</f>
        <v/>
      </c>
      <c r="AG27" s="9" t="str">
        <f aca="false">IF(AND(20&gt;=$F27,20&lt;=$H27),1,"")</f>
        <v/>
      </c>
      <c r="AH27" s="9" t="str">
        <f aca="false">IF(AND(21&gt;=$F27,21&lt;=$H27),1,"")</f>
        <v/>
      </c>
      <c r="AI27" s="9" t="str">
        <f aca="false">IF(AND(22&gt;=$F27,22&lt;=$H27),1,"")</f>
        <v/>
      </c>
      <c r="AJ27" s="9" t="str">
        <f aca="false">IF(AND(23&gt;=$F27,23&lt;=$H27),1,"")</f>
        <v/>
      </c>
      <c r="AK27" s="9" t="str">
        <f aca="false">IF(AND(24&gt;=$F27,24&lt;=$H27),1,"")</f>
        <v/>
      </c>
      <c r="AL27" s="9" t="str">
        <f aca="false">IF(AND(25&gt;=$F27,25&lt;=$H27),1,"")</f>
        <v/>
      </c>
      <c r="AM27" s="9" t="str">
        <f aca="false">IF(AND(26&gt;=$F27,26&lt;=$H27),1,"")</f>
        <v/>
      </c>
    </row>
    <row r="28" customFormat="false" ht="28.35" hidden="false" customHeight="false" outlineLevel="0" collapsed="false">
      <c r="A28" s="4" t="s">
        <v>159</v>
      </c>
      <c r="B28" s="4" t="s">
        <v>150</v>
      </c>
      <c r="C28" s="4" t="s">
        <v>160</v>
      </c>
      <c r="D28" s="4" t="s">
        <v>156</v>
      </c>
      <c r="E28" s="4" t="s">
        <v>154</v>
      </c>
      <c r="F28" s="5" t="n">
        <v>19</v>
      </c>
      <c r="G28" s="5" t="n">
        <v>4</v>
      </c>
      <c r="H28" s="6" t="n">
        <f aca="false">F28+G28-1</f>
        <v>22</v>
      </c>
      <c r="I28" s="7" t="n">
        <v>2500</v>
      </c>
      <c r="J28" s="4" t="s">
        <v>52</v>
      </c>
      <c r="K28" s="4" t="s">
        <v>161</v>
      </c>
      <c r="L28" s="4" t="s">
        <v>48</v>
      </c>
      <c r="M28" s="10" t="s">
        <v>61</v>
      </c>
      <c r="N28" s="9" t="str">
        <f aca="false">IF(AND(1&gt;=$F28,1&lt;=$H28),1,"")</f>
        <v/>
      </c>
      <c r="O28" s="9" t="str">
        <f aca="false">IF(AND(2&gt;=$F28,2&lt;=$H28),1,"")</f>
        <v/>
      </c>
      <c r="P28" s="9" t="str">
        <f aca="false">IF(AND(3&gt;=$F28,3&lt;=$H28),1,"")</f>
        <v/>
      </c>
      <c r="Q28" s="9" t="str">
        <f aca="false">IF(AND(4&gt;=$F28,4&lt;=$H28),1,"")</f>
        <v/>
      </c>
      <c r="R28" s="9" t="str">
        <f aca="false">IF(AND(5&gt;=$F28,5&lt;=$H28),1,"")</f>
        <v/>
      </c>
      <c r="S28" s="9" t="str">
        <f aca="false">IF(AND(6&gt;=$F28,6&lt;=$H28),1,"")</f>
        <v/>
      </c>
      <c r="T28" s="9" t="str">
        <f aca="false">IF(AND(7&gt;=$F28,7&lt;=$H28),1,"")</f>
        <v/>
      </c>
      <c r="U28" s="9" t="str">
        <f aca="false">IF(AND(8&gt;=$F28,8&lt;=$H28),1,"")</f>
        <v/>
      </c>
      <c r="V28" s="9" t="str">
        <f aca="false">IF(AND(9&gt;=$F28,9&lt;=$H28),1,"")</f>
        <v/>
      </c>
      <c r="W28" s="9" t="str">
        <f aca="false">IF(AND(10&gt;=$F28,10&lt;=$H28),1,"")</f>
        <v/>
      </c>
      <c r="X28" s="9" t="str">
        <f aca="false">IF(AND(11&gt;=$F28,11&lt;=$H28),1,"")</f>
        <v/>
      </c>
      <c r="Y28" s="9" t="str">
        <f aca="false">IF(AND(12&gt;=$F28,12&lt;=$H28),1,"")</f>
        <v/>
      </c>
      <c r="Z28" s="9" t="str">
        <f aca="false">IF(AND(13&gt;=$F28,13&lt;=$H28),1,"")</f>
        <v/>
      </c>
      <c r="AA28" s="9" t="str">
        <f aca="false">IF(AND(14&gt;=$F28,14&lt;=$H28),1,"")</f>
        <v/>
      </c>
      <c r="AB28" s="9" t="str">
        <f aca="false">IF(AND(15&gt;=$F28,15&lt;=$H28),1,"")</f>
        <v/>
      </c>
      <c r="AC28" s="9" t="str">
        <f aca="false">IF(AND(16&gt;=$F28,16&lt;=$H28),1,"")</f>
        <v/>
      </c>
      <c r="AD28" s="9" t="str">
        <f aca="false">IF(AND(17&gt;=$F28,17&lt;=$H28),1,"")</f>
        <v/>
      </c>
      <c r="AE28" s="9" t="str">
        <f aca="false">IF(AND(18&gt;=$F28,18&lt;=$H28),1,"")</f>
        <v/>
      </c>
      <c r="AF28" s="9" t="n">
        <f aca="false">IF(AND(19&gt;=$F28,19&lt;=$H28),1,"")</f>
        <v>1</v>
      </c>
      <c r="AG28" s="9" t="n">
        <f aca="false">IF(AND(20&gt;=$F28,20&lt;=$H28),1,"")</f>
        <v>1</v>
      </c>
      <c r="AH28" s="9" t="n">
        <f aca="false">IF(AND(21&gt;=$F28,21&lt;=$H28),1,"")</f>
        <v>1</v>
      </c>
      <c r="AI28" s="9" t="n">
        <f aca="false">IF(AND(22&gt;=$F28,22&lt;=$H28),1,"")</f>
        <v>1</v>
      </c>
      <c r="AJ28" s="9" t="str">
        <f aca="false">IF(AND(23&gt;=$F28,23&lt;=$H28),1,"")</f>
        <v/>
      </c>
      <c r="AK28" s="9" t="str">
        <f aca="false">IF(AND(24&gt;=$F28,24&lt;=$H28),1,"")</f>
        <v/>
      </c>
      <c r="AL28" s="9" t="str">
        <f aca="false">IF(AND(25&gt;=$F28,25&lt;=$H28),1,"")</f>
        <v/>
      </c>
      <c r="AM28" s="9" t="str">
        <f aca="false">IF(AND(26&gt;=$F28,26&lt;=$H28),1,"")</f>
        <v/>
      </c>
    </row>
    <row r="29" customFormat="false" ht="28.35" hidden="false" customHeight="false" outlineLevel="0" collapsed="false">
      <c r="A29" s="4" t="s">
        <v>162</v>
      </c>
      <c r="B29" s="4" t="s">
        <v>163</v>
      </c>
      <c r="C29" s="4" t="s">
        <v>164</v>
      </c>
      <c r="D29" s="4" t="s">
        <v>103</v>
      </c>
      <c r="E29" s="4" t="s">
        <v>117</v>
      </c>
      <c r="F29" s="5" t="n">
        <v>15</v>
      </c>
      <c r="G29" s="5" t="n">
        <v>3</v>
      </c>
      <c r="H29" s="6" t="n">
        <f aca="false">F29+G29-1</f>
        <v>17</v>
      </c>
      <c r="I29" s="7" t="n">
        <v>300</v>
      </c>
      <c r="J29" s="4" t="s">
        <v>104</v>
      </c>
      <c r="K29" s="4" t="s">
        <v>165</v>
      </c>
      <c r="L29" s="4" t="s">
        <v>48</v>
      </c>
      <c r="M29" s="10" t="s">
        <v>61</v>
      </c>
      <c r="N29" s="9" t="str">
        <f aca="false">IF(AND(1&gt;=$F29,1&lt;=$H29),1,"")</f>
        <v/>
      </c>
      <c r="O29" s="9" t="str">
        <f aca="false">IF(AND(2&gt;=$F29,2&lt;=$H29),1,"")</f>
        <v/>
      </c>
      <c r="P29" s="9" t="str">
        <f aca="false">IF(AND(3&gt;=$F29,3&lt;=$H29),1,"")</f>
        <v/>
      </c>
      <c r="Q29" s="9" t="str">
        <f aca="false">IF(AND(4&gt;=$F29,4&lt;=$H29),1,"")</f>
        <v/>
      </c>
      <c r="R29" s="9" t="str">
        <f aca="false">IF(AND(5&gt;=$F29,5&lt;=$H29),1,"")</f>
        <v/>
      </c>
      <c r="S29" s="9" t="str">
        <f aca="false">IF(AND(6&gt;=$F29,6&lt;=$H29),1,"")</f>
        <v/>
      </c>
      <c r="T29" s="9" t="str">
        <f aca="false">IF(AND(7&gt;=$F29,7&lt;=$H29),1,"")</f>
        <v/>
      </c>
      <c r="U29" s="9" t="str">
        <f aca="false">IF(AND(8&gt;=$F29,8&lt;=$H29),1,"")</f>
        <v/>
      </c>
      <c r="V29" s="9" t="str">
        <f aca="false">IF(AND(9&gt;=$F29,9&lt;=$H29),1,"")</f>
        <v/>
      </c>
      <c r="W29" s="9" t="str">
        <f aca="false">IF(AND(10&gt;=$F29,10&lt;=$H29),1,"")</f>
        <v/>
      </c>
      <c r="X29" s="9" t="str">
        <f aca="false">IF(AND(11&gt;=$F29,11&lt;=$H29),1,"")</f>
        <v/>
      </c>
      <c r="Y29" s="9" t="str">
        <f aca="false">IF(AND(12&gt;=$F29,12&lt;=$H29),1,"")</f>
        <v/>
      </c>
      <c r="Z29" s="9" t="str">
        <f aca="false">IF(AND(13&gt;=$F29,13&lt;=$H29),1,"")</f>
        <v/>
      </c>
      <c r="AA29" s="9" t="str">
        <f aca="false">IF(AND(14&gt;=$F29,14&lt;=$H29),1,"")</f>
        <v/>
      </c>
      <c r="AB29" s="9" t="n">
        <f aca="false">IF(AND(15&gt;=$F29,15&lt;=$H29),1,"")</f>
        <v>1</v>
      </c>
      <c r="AC29" s="9" t="n">
        <f aca="false">IF(AND(16&gt;=$F29,16&lt;=$H29),1,"")</f>
        <v>1</v>
      </c>
      <c r="AD29" s="9" t="n">
        <f aca="false">IF(AND(17&gt;=$F29,17&lt;=$H29),1,"")</f>
        <v>1</v>
      </c>
      <c r="AE29" s="9" t="str">
        <f aca="false">IF(AND(18&gt;=$F29,18&lt;=$H29),1,"")</f>
        <v/>
      </c>
      <c r="AF29" s="9" t="str">
        <f aca="false">IF(AND(19&gt;=$F29,19&lt;=$H29),1,"")</f>
        <v/>
      </c>
      <c r="AG29" s="9" t="str">
        <f aca="false">IF(AND(20&gt;=$F29,20&lt;=$H29),1,"")</f>
        <v/>
      </c>
      <c r="AH29" s="9" t="str">
        <f aca="false">IF(AND(21&gt;=$F29,21&lt;=$H29),1,"")</f>
        <v/>
      </c>
      <c r="AI29" s="9" t="str">
        <f aca="false">IF(AND(22&gt;=$F29,22&lt;=$H29),1,"")</f>
        <v/>
      </c>
      <c r="AJ29" s="9" t="str">
        <f aca="false">IF(AND(23&gt;=$F29,23&lt;=$H29),1,"")</f>
        <v/>
      </c>
      <c r="AK29" s="9" t="str">
        <f aca="false">IF(AND(24&gt;=$F29,24&lt;=$H29),1,"")</f>
        <v/>
      </c>
      <c r="AL29" s="9" t="str">
        <f aca="false">IF(AND(25&gt;=$F29,25&lt;=$H29),1,"")</f>
        <v/>
      </c>
      <c r="AM29" s="9" t="str">
        <f aca="false">IF(AND(26&gt;=$F29,26&lt;=$H29),1,"")</f>
        <v/>
      </c>
    </row>
    <row r="30" customFormat="false" ht="28.35" hidden="false" customHeight="false" outlineLevel="0" collapsed="false">
      <c r="A30" s="4" t="s">
        <v>166</v>
      </c>
      <c r="B30" s="4" t="s">
        <v>163</v>
      </c>
      <c r="C30" s="4" t="s">
        <v>167</v>
      </c>
      <c r="D30" s="4" t="s">
        <v>103</v>
      </c>
      <c r="E30" s="4" t="s">
        <v>168</v>
      </c>
      <c r="F30" s="5" t="n">
        <v>18</v>
      </c>
      <c r="G30" s="5" t="n">
        <v>4</v>
      </c>
      <c r="H30" s="6" t="n">
        <f aca="false">F30+G30-1</f>
        <v>21</v>
      </c>
      <c r="I30" s="7" t="n">
        <v>1500</v>
      </c>
      <c r="J30" s="4" t="s">
        <v>46</v>
      </c>
      <c r="K30" s="4" t="s">
        <v>169</v>
      </c>
      <c r="L30" s="4" t="s">
        <v>48</v>
      </c>
      <c r="M30" s="10" t="s">
        <v>61</v>
      </c>
      <c r="N30" s="9" t="str">
        <f aca="false">IF(AND(1&gt;=$F30,1&lt;=$H30),1,"")</f>
        <v/>
      </c>
      <c r="O30" s="9" t="str">
        <f aca="false">IF(AND(2&gt;=$F30,2&lt;=$H30),1,"")</f>
        <v/>
      </c>
      <c r="P30" s="9" t="str">
        <f aca="false">IF(AND(3&gt;=$F30,3&lt;=$H30),1,"")</f>
        <v/>
      </c>
      <c r="Q30" s="9" t="str">
        <f aca="false">IF(AND(4&gt;=$F30,4&lt;=$H30),1,"")</f>
        <v/>
      </c>
      <c r="R30" s="9" t="str">
        <f aca="false">IF(AND(5&gt;=$F30,5&lt;=$H30),1,"")</f>
        <v/>
      </c>
      <c r="S30" s="9" t="str">
        <f aca="false">IF(AND(6&gt;=$F30,6&lt;=$H30),1,"")</f>
        <v/>
      </c>
      <c r="T30" s="9" t="str">
        <f aca="false">IF(AND(7&gt;=$F30,7&lt;=$H30),1,"")</f>
        <v/>
      </c>
      <c r="U30" s="9" t="str">
        <f aca="false">IF(AND(8&gt;=$F30,8&lt;=$H30),1,"")</f>
        <v/>
      </c>
      <c r="V30" s="9" t="str">
        <f aca="false">IF(AND(9&gt;=$F30,9&lt;=$H30),1,"")</f>
        <v/>
      </c>
      <c r="W30" s="9" t="str">
        <f aca="false">IF(AND(10&gt;=$F30,10&lt;=$H30),1,"")</f>
        <v/>
      </c>
      <c r="X30" s="9" t="str">
        <f aca="false">IF(AND(11&gt;=$F30,11&lt;=$H30),1,"")</f>
        <v/>
      </c>
      <c r="Y30" s="9" t="str">
        <f aca="false">IF(AND(12&gt;=$F30,12&lt;=$H30),1,"")</f>
        <v/>
      </c>
      <c r="Z30" s="9" t="str">
        <f aca="false">IF(AND(13&gt;=$F30,13&lt;=$H30),1,"")</f>
        <v/>
      </c>
      <c r="AA30" s="9" t="str">
        <f aca="false">IF(AND(14&gt;=$F30,14&lt;=$H30),1,"")</f>
        <v/>
      </c>
      <c r="AB30" s="9" t="str">
        <f aca="false">IF(AND(15&gt;=$F30,15&lt;=$H30),1,"")</f>
        <v/>
      </c>
      <c r="AC30" s="9" t="str">
        <f aca="false">IF(AND(16&gt;=$F30,16&lt;=$H30),1,"")</f>
        <v/>
      </c>
      <c r="AD30" s="9" t="str">
        <f aca="false">IF(AND(17&gt;=$F30,17&lt;=$H30),1,"")</f>
        <v/>
      </c>
      <c r="AE30" s="9" t="n">
        <f aca="false">IF(AND(18&gt;=$F30,18&lt;=$H30),1,"")</f>
        <v>1</v>
      </c>
      <c r="AF30" s="9" t="n">
        <f aca="false">IF(AND(19&gt;=$F30,19&lt;=$H30),1,"")</f>
        <v>1</v>
      </c>
      <c r="AG30" s="9" t="n">
        <f aca="false">IF(AND(20&gt;=$F30,20&lt;=$H30),1,"")</f>
        <v>1</v>
      </c>
      <c r="AH30" s="9" t="n">
        <f aca="false">IF(AND(21&gt;=$F30,21&lt;=$H30),1,"")</f>
        <v>1</v>
      </c>
      <c r="AI30" s="9" t="str">
        <f aca="false">IF(AND(22&gt;=$F30,22&lt;=$H30),1,"")</f>
        <v/>
      </c>
      <c r="AJ30" s="9" t="str">
        <f aca="false">IF(AND(23&gt;=$F30,23&lt;=$H30),1,"")</f>
        <v/>
      </c>
      <c r="AK30" s="9" t="str">
        <f aca="false">IF(AND(24&gt;=$F30,24&lt;=$H30),1,"")</f>
        <v/>
      </c>
      <c r="AL30" s="9" t="str">
        <f aca="false">IF(AND(25&gt;=$F30,25&lt;=$H30),1,"")</f>
        <v/>
      </c>
      <c r="AM30" s="9" t="str">
        <f aca="false">IF(AND(26&gt;=$F30,26&lt;=$H30),1,"")</f>
        <v/>
      </c>
    </row>
    <row r="31" customFormat="false" ht="28.35" hidden="false" customHeight="false" outlineLevel="0" collapsed="false">
      <c r="A31" s="4" t="s">
        <v>170</v>
      </c>
      <c r="B31" s="4" t="s">
        <v>163</v>
      </c>
      <c r="C31" s="4" t="s">
        <v>171</v>
      </c>
      <c r="D31" s="4" t="s">
        <v>103</v>
      </c>
      <c r="E31" s="4" t="s">
        <v>162</v>
      </c>
      <c r="F31" s="5" t="n">
        <v>18</v>
      </c>
      <c r="G31" s="5" t="n">
        <v>4</v>
      </c>
      <c r="H31" s="6" t="n">
        <f aca="false">F31+G31-1</f>
        <v>21</v>
      </c>
      <c r="I31" s="7" t="n">
        <v>300</v>
      </c>
      <c r="J31" s="4" t="s">
        <v>46</v>
      </c>
      <c r="K31" s="4" t="s">
        <v>172</v>
      </c>
      <c r="L31" s="4" t="s">
        <v>48</v>
      </c>
      <c r="M31" s="10" t="s">
        <v>61</v>
      </c>
      <c r="N31" s="9" t="str">
        <f aca="false">IF(AND(1&gt;=$F31,1&lt;=$H31),1,"")</f>
        <v/>
      </c>
      <c r="O31" s="9" t="str">
        <f aca="false">IF(AND(2&gt;=$F31,2&lt;=$H31),1,"")</f>
        <v/>
      </c>
      <c r="P31" s="9" t="str">
        <f aca="false">IF(AND(3&gt;=$F31,3&lt;=$H31),1,"")</f>
        <v/>
      </c>
      <c r="Q31" s="9" t="str">
        <f aca="false">IF(AND(4&gt;=$F31,4&lt;=$H31),1,"")</f>
        <v/>
      </c>
      <c r="R31" s="9" t="str">
        <f aca="false">IF(AND(5&gt;=$F31,5&lt;=$H31),1,"")</f>
        <v/>
      </c>
      <c r="S31" s="9" t="str">
        <f aca="false">IF(AND(6&gt;=$F31,6&lt;=$H31),1,"")</f>
        <v/>
      </c>
      <c r="T31" s="9" t="str">
        <f aca="false">IF(AND(7&gt;=$F31,7&lt;=$H31),1,"")</f>
        <v/>
      </c>
      <c r="U31" s="9" t="str">
        <f aca="false">IF(AND(8&gt;=$F31,8&lt;=$H31),1,"")</f>
        <v/>
      </c>
      <c r="V31" s="9" t="str">
        <f aca="false">IF(AND(9&gt;=$F31,9&lt;=$H31),1,"")</f>
        <v/>
      </c>
      <c r="W31" s="9" t="str">
        <f aca="false">IF(AND(10&gt;=$F31,10&lt;=$H31),1,"")</f>
        <v/>
      </c>
      <c r="X31" s="9" t="str">
        <f aca="false">IF(AND(11&gt;=$F31,11&lt;=$H31),1,"")</f>
        <v/>
      </c>
      <c r="Y31" s="9" t="str">
        <f aca="false">IF(AND(12&gt;=$F31,12&lt;=$H31),1,"")</f>
        <v/>
      </c>
      <c r="Z31" s="9" t="str">
        <f aca="false">IF(AND(13&gt;=$F31,13&lt;=$H31),1,"")</f>
        <v/>
      </c>
      <c r="AA31" s="9" t="str">
        <f aca="false">IF(AND(14&gt;=$F31,14&lt;=$H31),1,"")</f>
        <v/>
      </c>
      <c r="AB31" s="9" t="str">
        <f aca="false">IF(AND(15&gt;=$F31,15&lt;=$H31),1,"")</f>
        <v/>
      </c>
      <c r="AC31" s="9" t="str">
        <f aca="false">IF(AND(16&gt;=$F31,16&lt;=$H31),1,"")</f>
        <v/>
      </c>
      <c r="AD31" s="9" t="str">
        <f aca="false">IF(AND(17&gt;=$F31,17&lt;=$H31),1,"")</f>
        <v/>
      </c>
      <c r="AE31" s="9" t="n">
        <f aca="false">IF(AND(18&gt;=$F31,18&lt;=$H31),1,"")</f>
        <v>1</v>
      </c>
      <c r="AF31" s="9" t="n">
        <f aca="false">IF(AND(19&gt;=$F31,19&lt;=$H31),1,"")</f>
        <v>1</v>
      </c>
      <c r="AG31" s="9" t="n">
        <f aca="false">IF(AND(20&gt;=$F31,20&lt;=$H31),1,"")</f>
        <v>1</v>
      </c>
      <c r="AH31" s="9" t="n">
        <f aca="false">IF(AND(21&gt;=$F31,21&lt;=$H31),1,"")</f>
        <v>1</v>
      </c>
      <c r="AI31" s="9" t="str">
        <f aca="false">IF(AND(22&gt;=$F31,22&lt;=$H31),1,"")</f>
        <v/>
      </c>
      <c r="AJ31" s="9" t="str">
        <f aca="false">IF(AND(23&gt;=$F31,23&lt;=$H31),1,"")</f>
        <v/>
      </c>
      <c r="AK31" s="9" t="str">
        <f aca="false">IF(AND(24&gt;=$F31,24&lt;=$H31),1,"")</f>
        <v/>
      </c>
      <c r="AL31" s="9" t="str">
        <f aca="false">IF(AND(25&gt;=$F31,25&lt;=$H31),1,"")</f>
        <v/>
      </c>
      <c r="AM31" s="9" t="str">
        <f aca="false">IF(AND(26&gt;=$F31,26&lt;=$H31),1,"")</f>
        <v/>
      </c>
    </row>
    <row r="32" customFormat="false" ht="28.35" hidden="false" customHeight="false" outlineLevel="0" collapsed="false">
      <c r="A32" s="4" t="s">
        <v>173</v>
      </c>
      <c r="B32" s="4" t="s">
        <v>163</v>
      </c>
      <c r="C32" s="4" t="s">
        <v>174</v>
      </c>
      <c r="D32" s="4" t="s">
        <v>44</v>
      </c>
      <c r="E32" s="4" t="s">
        <v>159</v>
      </c>
      <c r="F32" s="5" t="n">
        <v>20</v>
      </c>
      <c r="G32" s="5" t="n">
        <v>3</v>
      </c>
      <c r="H32" s="6" t="n">
        <f aca="false">F32+G32-1</f>
        <v>22</v>
      </c>
      <c r="I32" s="7" t="n">
        <v>0</v>
      </c>
      <c r="J32" s="4" t="s">
        <v>46</v>
      </c>
      <c r="K32" s="4" t="s">
        <v>175</v>
      </c>
      <c r="L32" s="4" t="s">
        <v>48</v>
      </c>
      <c r="M32" s="10" t="s">
        <v>61</v>
      </c>
      <c r="N32" s="9" t="str">
        <f aca="false">IF(AND(1&gt;=$F32,1&lt;=$H32),1,"")</f>
        <v/>
      </c>
      <c r="O32" s="9" t="str">
        <f aca="false">IF(AND(2&gt;=$F32,2&lt;=$H32),1,"")</f>
        <v/>
      </c>
      <c r="P32" s="9" t="str">
        <f aca="false">IF(AND(3&gt;=$F32,3&lt;=$H32),1,"")</f>
        <v/>
      </c>
      <c r="Q32" s="9" t="str">
        <f aca="false">IF(AND(4&gt;=$F32,4&lt;=$H32),1,"")</f>
        <v/>
      </c>
      <c r="R32" s="9" t="str">
        <f aca="false">IF(AND(5&gt;=$F32,5&lt;=$H32),1,"")</f>
        <v/>
      </c>
      <c r="S32" s="9" t="str">
        <f aca="false">IF(AND(6&gt;=$F32,6&lt;=$H32),1,"")</f>
        <v/>
      </c>
      <c r="T32" s="9" t="str">
        <f aca="false">IF(AND(7&gt;=$F32,7&lt;=$H32),1,"")</f>
        <v/>
      </c>
      <c r="U32" s="9" t="str">
        <f aca="false">IF(AND(8&gt;=$F32,8&lt;=$H32),1,"")</f>
        <v/>
      </c>
      <c r="V32" s="9" t="str">
        <f aca="false">IF(AND(9&gt;=$F32,9&lt;=$H32),1,"")</f>
        <v/>
      </c>
      <c r="W32" s="9" t="str">
        <f aca="false">IF(AND(10&gt;=$F32,10&lt;=$H32),1,"")</f>
        <v/>
      </c>
      <c r="X32" s="9" t="str">
        <f aca="false">IF(AND(11&gt;=$F32,11&lt;=$H32),1,"")</f>
        <v/>
      </c>
      <c r="Y32" s="9" t="str">
        <f aca="false">IF(AND(12&gt;=$F32,12&lt;=$H32),1,"")</f>
        <v/>
      </c>
      <c r="Z32" s="9" t="str">
        <f aca="false">IF(AND(13&gt;=$F32,13&lt;=$H32),1,"")</f>
        <v/>
      </c>
      <c r="AA32" s="9" t="str">
        <f aca="false">IF(AND(14&gt;=$F32,14&lt;=$H32),1,"")</f>
        <v/>
      </c>
      <c r="AB32" s="9" t="str">
        <f aca="false">IF(AND(15&gt;=$F32,15&lt;=$H32),1,"")</f>
        <v/>
      </c>
      <c r="AC32" s="9" t="str">
        <f aca="false">IF(AND(16&gt;=$F32,16&lt;=$H32),1,"")</f>
        <v/>
      </c>
      <c r="AD32" s="9" t="str">
        <f aca="false">IF(AND(17&gt;=$F32,17&lt;=$H32),1,"")</f>
        <v/>
      </c>
      <c r="AE32" s="9" t="str">
        <f aca="false">IF(AND(18&gt;=$F32,18&lt;=$H32),1,"")</f>
        <v/>
      </c>
      <c r="AF32" s="9" t="str">
        <f aca="false">IF(AND(19&gt;=$F32,19&lt;=$H32),1,"")</f>
        <v/>
      </c>
      <c r="AG32" s="9" t="n">
        <f aca="false">IF(AND(20&gt;=$F32,20&lt;=$H32),1,"")</f>
        <v>1</v>
      </c>
      <c r="AH32" s="9" t="n">
        <f aca="false">IF(AND(21&gt;=$F32,21&lt;=$H32),1,"")</f>
        <v>1</v>
      </c>
      <c r="AI32" s="9" t="n">
        <f aca="false">IF(AND(22&gt;=$F32,22&lt;=$H32),1,"")</f>
        <v>1</v>
      </c>
      <c r="AJ32" s="9" t="str">
        <f aca="false">IF(AND(23&gt;=$F32,23&lt;=$H32),1,"")</f>
        <v/>
      </c>
      <c r="AK32" s="9" t="str">
        <f aca="false">IF(AND(24&gt;=$F32,24&lt;=$H32),1,"")</f>
        <v/>
      </c>
      <c r="AL32" s="9" t="str">
        <f aca="false">IF(AND(25&gt;=$F32,25&lt;=$H32),1,"")</f>
        <v/>
      </c>
      <c r="AM32" s="9" t="str">
        <f aca="false">IF(AND(26&gt;=$F32,26&lt;=$H32),1,"")</f>
        <v/>
      </c>
    </row>
    <row r="33" customFormat="false" ht="28.35" hidden="false" customHeight="false" outlineLevel="0" collapsed="false">
      <c r="A33" s="4" t="s">
        <v>176</v>
      </c>
      <c r="B33" s="4" t="s">
        <v>163</v>
      </c>
      <c r="C33" s="4" t="s">
        <v>177</v>
      </c>
      <c r="D33" s="4" t="s">
        <v>103</v>
      </c>
      <c r="E33" s="4" t="s">
        <v>162</v>
      </c>
      <c r="F33" s="5" t="n">
        <v>22</v>
      </c>
      <c r="G33" s="5" t="n">
        <v>3</v>
      </c>
      <c r="H33" s="6" t="n">
        <f aca="false">F33+G33-1</f>
        <v>24</v>
      </c>
      <c r="I33" s="7" t="n">
        <v>0</v>
      </c>
      <c r="J33" s="4" t="s">
        <v>104</v>
      </c>
      <c r="K33" s="4" t="s">
        <v>178</v>
      </c>
      <c r="L33" s="4" t="s">
        <v>179</v>
      </c>
      <c r="M33" s="10" t="s">
        <v>61</v>
      </c>
      <c r="N33" s="9" t="str">
        <f aca="false">IF(AND(1&gt;=$F33,1&lt;=$H33),1,"")</f>
        <v/>
      </c>
      <c r="O33" s="9" t="str">
        <f aca="false">IF(AND(2&gt;=$F33,2&lt;=$H33),1,"")</f>
        <v/>
      </c>
      <c r="P33" s="9" t="str">
        <f aca="false">IF(AND(3&gt;=$F33,3&lt;=$H33),1,"")</f>
        <v/>
      </c>
      <c r="Q33" s="9" t="str">
        <f aca="false">IF(AND(4&gt;=$F33,4&lt;=$H33),1,"")</f>
        <v/>
      </c>
      <c r="R33" s="9" t="str">
        <f aca="false">IF(AND(5&gt;=$F33,5&lt;=$H33),1,"")</f>
        <v/>
      </c>
      <c r="S33" s="9" t="str">
        <f aca="false">IF(AND(6&gt;=$F33,6&lt;=$H33),1,"")</f>
        <v/>
      </c>
      <c r="T33" s="9" t="str">
        <f aca="false">IF(AND(7&gt;=$F33,7&lt;=$H33),1,"")</f>
        <v/>
      </c>
      <c r="U33" s="9" t="str">
        <f aca="false">IF(AND(8&gt;=$F33,8&lt;=$H33),1,"")</f>
        <v/>
      </c>
      <c r="V33" s="9" t="str">
        <f aca="false">IF(AND(9&gt;=$F33,9&lt;=$H33),1,"")</f>
        <v/>
      </c>
      <c r="W33" s="9" t="str">
        <f aca="false">IF(AND(10&gt;=$F33,10&lt;=$H33),1,"")</f>
        <v/>
      </c>
      <c r="X33" s="9" t="str">
        <f aca="false">IF(AND(11&gt;=$F33,11&lt;=$H33),1,"")</f>
        <v/>
      </c>
      <c r="Y33" s="9" t="str">
        <f aca="false">IF(AND(12&gt;=$F33,12&lt;=$H33),1,"")</f>
        <v/>
      </c>
      <c r="Z33" s="9" t="str">
        <f aca="false">IF(AND(13&gt;=$F33,13&lt;=$H33),1,"")</f>
        <v/>
      </c>
      <c r="AA33" s="9" t="str">
        <f aca="false">IF(AND(14&gt;=$F33,14&lt;=$H33),1,"")</f>
        <v/>
      </c>
      <c r="AB33" s="9" t="str">
        <f aca="false">IF(AND(15&gt;=$F33,15&lt;=$H33),1,"")</f>
        <v/>
      </c>
      <c r="AC33" s="9" t="str">
        <f aca="false">IF(AND(16&gt;=$F33,16&lt;=$H33),1,"")</f>
        <v/>
      </c>
      <c r="AD33" s="9" t="str">
        <f aca="false">IF(AND(17&gt;=$F33,17&lt;=$H33),1,"")</f>
        <v/>
      </c>
      <c r="AE33" s="9" t="str">
        <f aca="false">IF(AND(18&gt;=$F33,18&lt;=$H33),1,"")</f>
        <v/>
      </c>
      <c r="AF33" s="9" t="str">
        <f aca="false">IF(AND(19&gt;=$F33,19&lt;=$H33),1,"")</f>
        <v/>
      </c>
      <c r="AG33" s="9" t="str">
        <f aca="false">IF(AND(20&gt;=$F33,20&lt;=$H33),1,"")</f>
        <v/>
      </c>
      <c r="AH33" s="9" t="str">
        <f aca="false">IF(AND(21&gt;=$F33,21&lt;=$H33),1,"")</f>
        <v/>
      </c>
      <c r="AI33" s="9" t="n">
        <f aca="false">IF(AND(22&gt;=$F33,22&lt;=$H33),1,"")</f>
        <v>1</v>
      </c>
      <c r="AJ33" s="9" t="n">
        <f aca="false">IF(AND(23&gt;=$F33,23&lt;=$H33),1,"")</f>
        <v>1</v>
      </c>
      <c r="AK33" s="9" t="n">
        <f aca="false">IF(AND(24&gt;=$F33,24&lt;=$H33),1,"")</f>
        <v>1</v>
      </c>
      <c r="AL33" s="9" t="str">
        <f aca="false">IF(AND(25&gt;=$F33,25&lt;=$H33),1,"")</f>
        <v/>
      </c>
      <c r="AM33" s="9" t="str">
        <f aca="false">IF(AND(26&gt;=$F33,26&lt;=$H33),1,"")</f>
        <v/>
      </c>
    </row>
    <row r="34" customFormat="false" ht="15" hidden="false" customHeight="false" outlineLevel="0" collapsed="false">
      <c r="A34" s="4" t="s">
        <v>180</v>
      </c>
      <c r="B34" s="4" t="s">
        <v>181</v>
      </c>
      <c r="C34" s="4" t="s">
        <v>182</v>
      </c>
      <c r="D34" s="4" t="s">
        <v>44</v>
      </c>
      <c r="E34" s="4" t="s">
        <v>48</v>
      </c>
      <c r="F34" s="5" t="n">
        <v>4</v>
      </c>
      <c r="G34" s="5" t="n">
        <v>8</v>
      </c>
      <c r="H34" s="6" t="n">
        <f aca="false">F34+G34-1</f>
        <v>11</v>
      </c>
      <c r="I34" s="7" t="n">
        <v>600</v>
      </c>
      <c r="J34" s="4" t="s">
        <v>46</v>
      </c>
      <c r="K34" s="4" t="s">
        <v>183</v>
      </c>
      <c r="L34" s="4" t="s">
        <v>48</v>
      </c>
      <c r="M34" s="8" t="s">
        <v>49</v>
      </c>
      <c r="N34" s="9" t="str">
        <f aca="false">IF(AND(1&gt;=$F34,1&lt;=$H34),1,"")</f>
        <v/>
      </c>
      <c r="O34" s="9" t="str">
        <f aca="false">IF(AND(2&gt;=$F34,2&lt;=$H34),1,"")</f>
        <v/>
      </c>
      <c r="P34" s="9" t="str">
        <f aca="false">IF(AND(3&gt;=$F34,3&lt;=$H34),1,"")</f>
        <v/>
      </c>
      <c r="Q34" s="9" t="n">
        <f aca="false">IF(AND(4&gt;=$F34,4&lt;=$H34),1,"")</f>
        <v>1</v>
      </c>
      <c r="R34" s="9" t="n">
        <f aca="false">IF(AND(5&gt;=$F34,5&lt;=$H34),1,"")</f>
        <v>1</v>
      </c>
      <c r="S34" s="9" t="n">
        <f aca="false">IF(AND(6&gt;=$F34,6&lt;=$H34),1,"")</f>
        <v>1</v>
      </c>
      <c r="T34" s="9" t="n">
        <f aca="false">IF(AND(7&gt;=$F34,7&lt;=$H34),1,"")</f>
        <v>1</v>
      </c>
      <c r="U34" s="9" t="n">
        <f aca="false">IF(AND(8&gt;=$F34,8&lt;=$H34),1,"")</f>
        <v>1</v>
      </c>
      <c r="V34" s="9" t="n">
        <f aca="false">IF(AND(9&gt;=$F34,9&lt;=$H34),1,"")</f>
        <v>1</v>
      </c>
      <c r="W34" s="9" t="n">
        <f aca="false">IF(AND(10&gt;=$F34,10&lt;=$H34),1,"")</f>
        <v>1</v>
      </c>
      <c r="X34" s="9" t="n">
        <f aca="false">IF(AND(11&gt;=$F34,11&lt;=$H34),1,"")</f>
        <v>1</v>
      </c>
      <c r="Y34" s="9" t="str">
        <f aca="false">IF(AND(12&gt;=$F34,12&lt;=$H34),1,"")</f>
        <v/>
      </c>
      <c r="Z34" s="9" t="str">
        <f aca="false">IF(AND(13&gt;=$F34,13&lt;=$H34),1,"")</f>
        <v/>
      </c>
      <c r="AA34" s="9" t="str">
        <f aca="false">IF(AND(14&gt;=$F34,14&lt;=$H34),1,"")</f>
        <v/>
      </c>
      <c r="AB34" s="9" t="str">
        <f aca="false">IF(AND(15&gt;=$F34,15&lt;=$H34),1,"")</f>
        <v/>
      </c>
      <c r="AC34" s="9" t="str">
        <f aca="false">IF(AND(16&gt;=$F34,16&lt;=$H34),1,"")</f>
        <v/>
      </c>
      <c r="AD34" s="9" t="str">
        <f aca="false">IF(AND(17&gt;=$F34,17&lt;=$H34),1,"")</f>
        <v/>
      </c>
      <c r="AE34" s="9" t="str">
        <f aca="false">IF(AND(18&gt;=$F34,18&lt;=$H34),1,"")</f>
        <v/>
      </c>
      <c r="AF34" s="9" t="str">
        <f aca="false">IF(AND(19&gt;=$F34,19&lt;=$H34),1,"")</f>
        <v/>
      </c>
      <c r="AG34" s="9" t="str">
        <f aca="false">IF(AND(20&gt;=$F34,20&lt;=$H34),1,"")</f>
        <v/>
      </c>
      <c r="AH34" s="9" t="str">
        <f aca="false">IF(AND(21&gt;=$F34,21&lt;=$H34),1,"")</f>
        <v/>
      </c>
      <c r="AI34" s="9" t="str">
        <f aca="false">IF(AND(22&gt;=$F34,22&lt;=$H34),1,"")</f>
        <v/>
      </c>
      <c r="AJ34" s="9" t="str">
        <f aca="false">IF(AND(23&gt;=$F34,23&lt;=$H34),1,"")</f>
        <v/>
      </c>
      <c r="AK34" s="9" t="str">
        <f aca="false">IF(AND(24&gt;=$F34,24&lt;=$H34),1,"")</f>
        <v/>
      </c>
      <c r="AL34" s="9" t="str">
        <f aca="false">IF(AND(25&gt;=$F34,25&lt;=$H34),1,"")</f>
        <v/>
      </c>
      <c r="AM34" s="9" t="str">
        <f aca="false">IF(AND(26&gt;=$F34,26&lt;=$H34),1,"")</f>
        <v/>
      </c>
    </row>
    <row r="35" customFormat="false" ht="15" hidden="false" customHeight="false" outlineLevel="0" collapsed="false">
      <c r="A35" s="4" t="s">
        <v>184</v>
      </c>
      <c r="B35" s="4" t="s">
        <v>181</v>
      </c>
      <c r="C35" s="4" t="s">
        <v>185</v>
      </c>
      <c r="D35" s="4" t="s">
        <v>44</v>
      </c>
      <c r="E35" s="4" t="s">
        <v>186</v>
      </c>
      <c r="F35" s="5" t="n">
        <v>18</v>
      </c>
      <c r="G35" s="5" t="n">
        <v>6</v>
      </c>
      <c r="H35" s="6" t="n">
        <f aca="false">F35+G35-1</f>
        <v>23</v>
      </c>
      <c r="I35" s="7" t="n">
        <v>0</v>
      </c>
      <c r="J35" s="4" t="s">
        <v>46</v>
      </c>
      <c r="K35" s="4" t="s">
        <v>187</v>
      </c>
      <c r="L35" s="4" t="s">
        <v>188</v>
      </c>
      <c r="M35" s="10" t="s">
        <v>61</v>
      </c>
      <c r="N35" s="9" t="str">
        <f aca="false">IF(AND(1&gt;=$F35,1&lt;=$H35),1,"")</f>
        <v/>
      </c>
      <c r="O35" s="9" t="str">
        <f aca="false">IF(AND(2&gt;=$F35,2&lt;=$H35),1,"")</f>
        <v/>
      </c>
      <c r="P35" s="9" t="str">
        <f aca="false">IF(AND(3&gt;=$F35,3&lt;=$H35),1,"")</f>
        <v/>
      </c>
      <c r="Q35" s="9" t="str">
        <f aca="false">IF(AND(4&gt;=$F35,4&lt;=$H35),1,"")</f>
        <v/>
      </c>
      <c r="R35" s="9" t="str">
        <f aca="false">IF(AND(5&gt;=$F35,5&lt;=$H35),1,"")</f>
        <v/>
      </c>
      <c r="S35" s="9" t="str">
        <f aca="false">IF(AND(6&gt;=$F35,6&lt;=$H35),1,"")</f>
        <v/>
      </c>
      <c r="T35" s="9" t="str">
        <f aca="false">IF(AND(7&gt;=$F35,7&lt;=$H35),1,"")</f>
        <v/>
      </c>
      <c r="U35" s="9" t="str">
        <f aca="false">IF(AND(8&gt;=$F35,8&lt;=$H35),1,"")</f>
        <v/>
      </c>
      <c r="V35" s="9" t="str">
        <f aca="false">IF(AND(9&gt;=$F35,9&lt;=$H35),1,"")</f>
        <v/>
      </c>
      <c r="W35" s="9" t="str">
        <f aca="false">IF(AND(10&gt;=$F35,10&lt;=$H35),1,"")</f>
        <v/>
      </c>
      <c r="X35" s="9" t="str">
        <f aca="false">IF(AND(11&gt;=$F35,11&lt;=$H35),1,"")</f>
        <v/>
      </c>
      <c r="Y35" s="9" t="str">
        <f aca="false">IF(AND(12&gt;=$F35,12&lt;=$H35),1,"")</f>
        <v/>
      </c>
      <c r="Z35" s="9" t="str">
        <f aca="false">IF(AND(13&gt;=$F35,13&lt;=$H35),1,"")</f>
        <v/>
      </c>
      <c r="AA35" s="9" t="str">
        <f aca="false">IF(AND(14&gt;=$F35,14&lt;=$H35),1,"")</f>
        <v/>
      </c>
      <c r="AB35" s="9" t="str">
        <f aca="false">IF(AND(15&gt;=$F35,15&lt;=$H35),1,"")</f>
        <v/>
      </c>
      <c r="AC35" s="9" t="str">
        <f aca="false">IF(AND(16&gt;=$F35,16&lt;=$H35),1,"")</f>
        <v/>
      </c>
      <c r="AD35" s="9" t="str">
        <f aca="false">IF(AND(17&gt;=$F35,17&lt;=$H35),1,"")</f>
        <v/>
      </c>
      <c r="AE35" s="9" t="n">
        <f aca="false">IF(AND(18&gt;=$F35,18&lt;=$H35),1,"")</f>
        <v>1</v>
      </c>
      <c r="AF35" s="9" t="n">
        <f aca="false">IF(AND(19&gt;=$F35,19&lt;=$H35),1,"")</f>
        <v>1</v>
      </c>
      <c r="AG35" s="9" t="n">
        <f aca="false">IF(AND(20&gt;=$F35,20&lt;=$H35),1,"")</f>
        <v>1</v>
      </c>
      <c r="AH35" s="9" t="n">
        <f aca="false">IF(AND(21&gt;=$F35,21&lt;=$H35),1,"")</f>
        <v>1</v>
      </c>
      <c r="AI35" s="9" t="n">
        <f aca="false">IF(AND(22&gt;=$F35,22&lt;=$H35),1,"")</f>
        <v>1</v>
      </c>
      <c r="AJ35" s="9" t="n">
        <f aca="false">IF(AND(23&gt;=$F35,23&lt;=$H35),1,"")</f>
        <v>1</v>
      </c>
      <c r="AK35" s="9" t="str">
        <f aca="false">IF(AND(24&gt;=$F35,24&lt;=$H35),1,"")</f>
        <v/>
      </c>
      <c r="AL35" s="9" t="str">
        <f aca="false">IF(AND(25&gt;=$F35,25&lt;=$H35),1,"")</f>
        <v/>
      </c>
      <c r="AM35" s="9" t="str">
        <f aca="false">IF(AND(26&gt;=$F35,26&lt;=$H35),1,"")</f>
        <v/>
      </c>
    </row>
    <row r="36" customFormat="false" ht="15" hidden="false" customHeight="false" outlineLevel="0" collapsed="false">
      <c r="A36" s="4" t="s">
        <v>189</v>
      </c>
      <c r="B36" s="4" t="s">
        <v>181</v>
      </c>
      <c r="C36" s="4" t="s">
        <v>190</v>
      </c>
      <c r="D36" s="4" t="s">
        <v>44</v>
      </c>
      <c r="E36" s="4" t="s">
        <v>162</v>
      </c>
      <c r="F36" s="5" t="n">
        <v>16</v>
      </c>
      <c r="G36" s="5" t="n">
        <v>6</v>
      </c>
      <c r="H36" s="6" t="n">
        <f aca="false">F36+G36-1</f>
        <v>21</v>
      </c>
      <c r="I36" s="7" t="n">
        <v>0</v>
      </c>
      <c r="J36" s="4" t="s">
        <v>52</v>
      </c>
      <c r="K36" s="4" t="s">
        <v>191</v>
      </c>
      <c r="L36" s="4" t="s">
        <v>192</v>
      </c>
      <c r="M36" s="10" t="s">
        <v>61</v>
      </c>
      <c r="N36" s="9" t="str">
        <f aca="false">IF(AND(1&gt;=$F36,1&lt;=$H36),1,"")</f>
        <v/>
      </c>
      <c r="O36" s="9" t="str">
        <f aca="false">IF(AND(2&gt;=$F36,2&lt;=$H36),1,"")</f>
        <v/>
      </c>
      <c r="P36" s="9" t="str">
        <f aca="false">IF(AND(3&gt;=$F36,3&lt;=$H36),1,"")</f>
        <v/>
      </c>
      <c r="Q36" s="9" t="str">
        <f aca="false">IF(AND(4&gt;=$F36,4&lt;=$H36),1,"")</f>
        <v/>
      </c>
      <c r="R36" s="9" t="str">
        <f aca="false">IF(AND(5&gt;=$F36,5&lt;=$H36),1,"")</f>
        <v/>
      </c>
      <c r="S36" s="9" t="str">
        <f aca="false">IF(AND(6&gt;=$F36,6&lt;=$H36),1,"")</f>
        <v/>
      </c>
      <c r="T36" s="9" t="str">
        <f aca="false">IF(AND(7&gt;=$F36,7&lt;=$H36),1,"")</f>
        <v/>
      </c>
      <c r="U36" s="9" t="str">
        <f aca="false">IF(AND(8&gt;=$F36,8&lt;=$H36),1,"")</f>
        <v/>
      </c>
      <c r="V36" s="9" t="str">
        <f aca="false">IF(AND(9&gt;=$F36,9&lt;=$H36),1,"")</f>
        <v/>
      </c>
      <c r="W36" s="9" t="str">
        <f aca="false">IF(AND(10&gt;=$F36,10&lt;=$H36),1,"")</f>
        <v/>
      </c>
      <c r="X36" s="9" t="str">
        <f aca="false">IF(AND(11&gt;=$F36,11&lt;=$H36),1,"")</f>
        <v/>
      </c>
      <c r="Y36" s="9" t="str">
        <f aca="false">IF(AND(12&gt;=$F36,12&lt;=$H36),1,"")</f>
        <v/>
      </c>
      <c r="Z36" s="9" t="str">
        <f aca="false">IF(AND(13&gt;=$F36,13&lt;=$H36),1,"")</f>
        <v/>
      </c>
      <c r="AA36" s="9" t="str">
        <f aca="false">IF(AND(14&gt;=$F36,14&lt;=$H36),1,"")</f>
        <v/>
      </c>
      <c r="AB36" s="9" t="str">
        <f aca="false">IF(AND(15&gt;=$F36,15&lt;=$H36),1,"")</f>
        <v/>
      </c>
      <c r="AC36" s="9" t="n">
        <f aca="false">IF(AND(16&gt;=$F36,16&lt;=$H36),1,"")</f>
        <v>1</v>
      </c>
      <c r="AD36" s="9" t="n">
        <f aca="false">IF(AND(17&gt;=$F36,17&lt;=$H36),1,"")</f>
        <v>1</v>
      </c>
      <c r="AE36" s="9" t="n">
        <f aca="false">IF(AND(18&gt;=$F36,18&lt;=$H36),1,"")</f>
        <v>1</v>
      </c>
      <c r="AF36" s="9" t="n">
        <f aca="false">IF(AND(19&gt;=$F36,19&lt;=$H36),1,"")</f>
        <v>1</v>
      </c>
      <c r="AG36" s="9" t="n">
        <f aca="false">IF(AND(20&gt;=$F36,20&lt;=$H36),1,"")</f>
        <v>1</v>
      </c>
      <c r="AH36" s="9" t="n">
        <f aca="false">IF(AND(21&gt;=$F36,21&lt;=$H36),1,"")</f>
        <v>1</v>
      </c>
      <c r="AI36" s="9" t="str">
        <f aca="false">IF(AND(22&gt;=$F36,22&lt;=$H36),1,"")</f>
        <v/>
      </c>
      <c r="AJ36" s="9" t="str">
        <f aca="false">IF(AND(23&gt;=$F36,23&lt;=$H36),1,"")</f>
        <v/>
      </c>
      <c r="AK36" s="9" t="str">
        <f aca="false">IF(AND(24&gt;=$F36,24&lt;=$H36),1,"")</f>
        <v/>
      </c>
      <c r="AL36" s="9" t="str">
        <f aca="false">IF(AND(25&gt;=$F36,25&lt;=$H36),1,"")</f>
        <v/>
      </c>
      <c r="AM36" s="9" t="str">
        <f aca="false">IF(AND(26&gt;=$F36,26&lt;=$H36),1,"")</f>
        <v/>
      </c>
    </row>
    <row r="37" customFormat="false" ht="28.35" hidden="false" customHeight="false" outlineLevel="0" collapsed="false">
      <c r="A37" s="4" t="s">
        <v>193</v>
      </c>
      <c r="B37" s="4" t="s">
        <v>181</v>
      </c>
      <c r="C37" s="4" t="s">
        <v>194</v>
      </c>
      <c r="D37" s="4" t="s">
        <v>44</v>
      </c>
      <c r="E37" s="4" t="s">
        <v>195</v>
      </c>
      <c r="F37" s="5" t="n">
        <v>4</v>
      </c>
      <c r="G37" s="5" t="n">
        <v>8</v>
      </c>
      <c r="H37" s="6" t="n">
        <f aca="false">F37+G37-1</f>
        <v>11</v>
      </c>
      <c r="I37" s="7" t="n">
        <v>0</v>
      </c>
      <c r="J37" s="4" t="s">
        <v>46</v>
      </c>
      <c r="K37" s="4" t="s">
        <v>196</v>
      </c>
      <c r="L37" s="4" t="s">
        <v>197</v>
      </c>
      <c r="M37" s="8" t="s">
        <v>49</v>
      </c>
      <c r="N37" s="9" t="str">
        <f aca="false">IF(AND(1&gt;=$F37,1&lt;=$H37),1,"")</f>
        <v/>
      </c>
      <c r="O37" s="9" t="str">
        <f aca="false">IF(AND(2&gt;=$F37,2&lt;=$H37),1,"")</f>
        <v/>
      </c>
      <c r="P37" s="9" t="str">
        <f aca="false">IF(AND(3&gt;=$F37,3&lt;=$H37),1,"")</f>
        <v/>
      </c>
      <c r="Q37" s="9" t="n">
        <f aca="false">IF(AND(4&gt;=$F37,4&lt;=$H37),1,"")</f>
        <v>1</v>
      </c>
      <c r="R37" s="9" t="n">
        <f aca="false">IF(AND(5&gt;=$F37,5&lt;=$H37),1,"")</f>
        <v>1</v>
      </c>
      <c r="S37" s="9" t="n">
        <f aca="false">IF(AND(6&gt;=$F37,6&lt;=$H37),1,"")</f>
        <v>1</v>
      </c>
      <c r="T37" s="9" t="n">
        <f aca="false">IF(AND(7&gt;=$F37,7&lt;=$H37),1,"")</f>
        <v>1</v>
      </c>
      <c r="U37" s="9" t="n">
        <f aca="false">IF(AND(8&gt;=$F37,8&lt;=$H37),1,"")</f>
        <v>1</v>
      </c>
      <c r="V37" s="9" t="n">
        <f aca="false">IF(AND(9&gt;=$F37,9&lt;=$H37),1,"")</f>
        <v>1</v>
      </c>
      <c r="W37" s="9" t="n">
        <f aca="false">IF(AND(10&gt;=$F37,10&lt;=$H37),1,"")</f>
        <v>1</v>
      </c>
      <c r="X37" s="9" t="n">
        <f aca="false">IF(AND(11&gt;=$F37,11&lt;=$H37),1,"")</f>
        <v>1</v>
      </c>
      <c r="Y37" s="9" t="str">
        <f aca="false">IF(AND(12&gt;=$F37,12&lt;=$H37),1,"")</f>
        <v/>
      </c>
      <c r="Z37" s="9" t="str">
        <f aca="false">IF(AND(13&gt;=$F37,13&lt;=$H37),1,"")</f>
        <v/>
      </c>
      <c r="AA37" s="9" t="str">
        <f aca="false">IF(AND(14&gt;=$F37,14&lt;=$H37),1,"")</f>
        <v/>
      </c>
      <c r="AB37" s="9" t="str">
        <f aca="false">IF(AND(15&gt;=$F37,15&lt;=$H37),1,"")</f>
        <v/>
      </c>
      <c r="AC37" s="9" t="str">
        <f aca="false">IF(AND(16&gt;=$F37,16&lt;=$H37),1,"")</f>
        <v/>
      </c>
      <c r="AD37" s="9" t="str">
        <f aca="false">IF(AND(17&gt;=$F37,17&lt;=$H37),1,"")</f>
        <v/>
      </c>
      <c r="AE37" s="9" t="str">
        <f aca="false">IF(AND(18&gt;=$F37,18&lt;=$H37),1,"")</f>
        <v/>
      </c>
      <c r="AF37" s="9" t="str">
        <f aca="false">IF(AND(19&gt;=$F37,19&lt;=$H37),1,"")</f>
        <v/>
      </c>
      <c r="AG37" s="9" t="str">
        <f aca="false">IF(AND(20&gt;=$F37,20&lt;=$H37),1,"")</f>
        <v/>
      </c>
      <c r="AH37" s="9" t="str">
        <f aca="false">IF(AND(21&gt;=$F37,21&lt;=$H37),1,"")</f>
        <v/>
      </c>
      <c r="AI37" s="9" t="str">
        <f aca="false">IF(AND(22&gt;=$F37,22&lt;=$H37),1,"")</f>
        <v/>
      </c>
      <c r="AJ37" s="9" t="str">
        <f aca="false">IF(AND(23&gt;=$F37,23&lt;=$H37),1,"")</f>
        <v/>
      </c>
      <c r="AK37" s="9" t="str">
        <f aca="false">IF(AND(24&gt;=$F37,24&lt;=$H37),1,"")</f>
        <v/>
      </c>
      <c r="AL37" s="9" t="str">
        <f aca="false">IF(AND(25&gt;=$F37,25&lt;=$H37),1,"")</f>
        <v/>
      </c>
      <c r="AM37" s="9" t="str">
        <f aca="false">IF(AND(26&gt;=$F37,26&lt;=$H37),1,"")</f>
        <v/>
      </c>
    </row>
    <row r="38" customFormat="false" ht="15" hidden="false" customHeight="false" outlineLevel="0" collapsed="false">
      <c r="A38" s="4" t="s">
        <v>198</v>
      </c>
      <c r="B38" s="4" t="s">
        <v>199</v>
      </c>
      <c r="C38" s="4" t="s">
        <v>200</v>
      </c>
      <c r="D38" s="4" t="s">
        <v>44</v>
      </c>
      <c r="E38" s="4" t="s">
        <v>201</v>
      </c>
      <c r="F38" s="5" t="n">
        <v>24</v>
      </c>
      <c r="G38" s="5" t="n">
        <v>2</v>
      </c>
      <c r="H38" s="6" t="n">
        <f aca="false">F38+G38-1</f>
        <v>25</v>
      </c>
      <c r="I38" s="7" t="n">
        <v>0</v>
      </c>
      <c r="J38" s="4" t="s">
        <v>52</v>
      </c>
      <c r="K38" s="4" t="s">
        <v>202</v>
      </c>
      <c r="L38" s="4" t="s">
        <v>203</v>
      </c>
      <c r="M38" s="10" t="s">
        <v>61</v>
      </c>
      <c r="N38" s="9" t="str">
        <f aca="false">IF(AND(1&gt;=$F38,1&lt;=$H38),1,"")</f>
        <v/>
      </c>
      <c r="O38" s="9" t="str">
        <f aca="false">IF(AND(2&gt;=$F38,2&lt;=$H38),1,"")</f>
        <v/>
      </c>
      <c r="P38" s="9" t="str">
        <f aca="false">IF(AND(3&gt;=$F38,3&lt;=$H38),1,"")</f>
        <v/>
      </c>
      <c r="Q38" s="9" t="str">
        <f aca="false">IF(AND(4&gt;=$F38,4&lt;=$H38),1,"")</f>
        <v/>
      </c>
      <c r="R38" s="9" t="str">
        <f aca="false">IF(AND(5&gt;=$F38,5&lt;=$H38),1,"")</f>
        <v/>
      </c>
      <c r="S38" s="9" t="str">
        <f aca="false">IF(AND(6&gt;=$F38,6&lt;=$H38),1,"")</f>
        <v/>
      </c>
      <c r="T38" s="9" t="str">
        <f aca="false">IF(AND(7&gt;=$F38,7&lt;=$H38),1,"")</f>
        <v/>
      </c>
      <c r="U38" s="9" t="str">
        <f aca="false">IF(AND(8&gt;=$F38,8&lt;=$H38),1,"")</f>
        <v/>
      </c>
      <c r="V38" s="9" t="str">
        <f aca="false">IF(AND(9&gt;=$F38,9&lt;=$H38),1,"")</f>
        <v/>
      </c>
      <c r="W38" s="9" t="str">
        <f aca="false">IF(AND(10&gt;=$F38,10&lt;=$H38),1,"")</f>
        <v/>
      </c>
      <c r="X38" s="9" t="str">
        <f aca="false">IF(AND(11&gt;=$F38,11&lt;=$H38),1,"")</f>
        <v/>
      </c>
      <c r="Y38" s="9" t="str">
        <f aca="false">IF(AND(12&gt;=$F38,12&lt;=$H38),1,"")</f>
        <v/>
      </c>
      <c r="Z38" s="9" t="str">
        <f aca="false">IF(AND(13&gt;=$F38,13&lt;=$H38),1,"")</f>
        <v/>
      </c>
      <c r="AA38" s="9" t="str">
        <f aca="false">IF(AND(14&gt;=$F38,14&lt;=$H38),1,"")</f>
        <v/>
      </c>
      <c r="AB38" s="9" t="str">
        <f aca="false">IF(AND(15&gt;=$F38,15&lt;=$H38),1,"")</f>
        <v/>
      </c>
      <c r="AC38" s="9" t="str">
        <f aca="false">IF(AND(16&gt;=$F38,16&lt;=$H38),1,"")</f>
        <v/>
      </c>
      <c r="AD38" s="9" t="str">
        <f aca="false">IF(AND(17&gt;=$F38,17&lt;=$H38),1,"")</f>
        <v/>
      </c>
      <c r="AE38" s="9" t="str">
        <f aca="false">IF(AND(18&gt;=$F38,18&lt;=$H38),1,"")</f>
        <v/>
      </c>
      <c r="AF38" s="9" t="str">
        <f aca="false">IF(AND(19&gt;=$F38,19&lt;=$H38),1,"")</f>
        <v/>
      </c>
      <c r="AG38" s="9" t="str">
        <f aca="false">IF(AND(20&gt;=$F38,20&lt;=$H38),1,"")</f>
        <v/>
      </c>
      <c r="AH38" s="9" t="str">
        <f aca="false">IF(AND(21&gt;=$F38,21&lt;=$H38),1,"")</f>
        <v/>
      </c>
      <c r="AI38" s="9" t="str">
        <f aca="false">IF(AND(22&gt;=$F38,22&lt;=$H38),1,"")</f>
        <v/>
      </c>
      <c r="AJ38" s="9" t="str">
        <f aca="false">IF(AND(23&gt;=$F38,23&lt;=$H38),1,"")</f>
        <v/>
      </c>
      <c r="AK38" s="9" t="n">
        <f aca="false">IF(AND(24&gt;=$F38,24&lt;=$H38),1,"")</f>
        <v>1</v>
      </c>
      <c r="AL38" s="9" t="n">
        <f aca="false">IF(AND(25&gt;=$F38,25&lt;=$H38),1,"")</f>
        <v>1</v>
      </c>
      <c r="AM38" s="9" t="str">
        <f aca="false">IF(AND(26&gt;=$F38,26&lt;=$H38),1,"")</f>
        <v/>
      </c>
    </row>
    <row r="39" customFormat="false" ht="28.35" hidden="false" customHeight="false" outlineLevel="0" collapsed="false">
      <c r="A39" s="4" t="s">
        <v>204</v>
      </c>
      <c r="B39" s="4" t="s">
        <v>199</v>
      </c>
      <c r="C39" s="4" t="s">
        <v>205</v>
      </c>
      <c r="D39" s="4" t="s">
        <v>206</v>
      </c>
      <c r="E39" s="4" t="s">
        <v>198</v>
      </c>
      <c r="F39" s="5" t="n">
        <v>26</v>
      </c>
      <c r="G39" s="5" t="n">
        <v>1</v>
      </c>
      <c r="H39" s="6" t="n">
        <f aca="false">F39+G39-1</f>
        <v>26</v>
      </c>
      <c r="I39" s="7" t="n">
        <v>0</v>
      </c>
      <c r="J39" s="4" t="s">
        <v>52</v>
      </c>
      <c r="K39" s="4" t="s">
        <v>207</v>
      </c>
      <c r="L39" s="4" t="s">
        <v>48</v>
      </c>
      <c r="M39" s="10" t="s">
        <v>61</v>
      </c>
      <c r="N39" s="9" t="str">
        <f aca="false">IF(AND(1&gt;=$F39,1&lt;=$H39),1,"")</f>
        <v/>
      </c>
      <c r="O39" s="9" t="str">
        <f aca="false">IF(AND(2&gt;=$F39,2&lt;=$H39),1,"")</f>
        <v/>
      </c>
      <c r="P39" s="9" t="str">
        <f aca="false">IF(AND(3&gt;=$F39,3&lt;=$H39),1,"")</f>
        <v/>
      </c>
      <c r="Q39" s="9" t="str">
        <f aca="false">IF(AND(4&gt;=$F39,4&lt;=$H39),1,"")</f>
        <v/>
      </c>
      <c r="R39" s="9" t="str">
        <f aca="false">IF(AND(5&gt;=$F39,5&lt;=$H39),1,"")</f>
        <v/>
      </c>
      <c r="S39" s="9" t="str">
        <f aca="false">IF(AND(6&gt;=$F39,6&lt;=$H39),1,"")</f>
        <v/>
      </c>
      <c r="T39" s="9" t="str">
        <f aca="false">IF(AND(7&gt;=$F39,7&lt;=$H39),1,"")</f>
        <v/>
      </c>
      <c r="U39" s="9" t="str">
        <f aca="false">IF(AND(8&gt;=$F39,8&lt;=$H39),1,"")</f>
        <v/>
      </c>
      <c r="V39" s="9" t="str">
        <f aca="false">IF(AND(9&gt;=$F39,9&lt;=$H39),1,"")</f>
        <v/>
      </c>
      <c r="W39" s="9" t="str">
        <f aca="false">IF(AND(10&gt;=$F39,10&lt;=$H39),1,"")</f>
        <v/>
      </c>
      <c r="X39" s="9" t="str">
        <f aca="false">IF(AND(11&gt;=$F39,11&lt;=$H39),1,"")</f>
        <v/>
      </c>
      <c r="Y39" s="9" t="str">
        <f aca="false">IF(AND(12&gt;=$F39,12&lt;=$H39),1,"")</f>
        <v/>
      </c>
      <c r="Z39" s="9" t="str">
        <f aca="false">IF(AND(13&gt;=$F39,13&lt;=$H39),1,"")</f>
        <v/>
      </c>
      <c r="AA39" s="9" t="str">
        <f aca="false">IF(AND(14&gt;=$F39,14&lt;=$H39),1,"")</f>
        <v/>
      </c>
      <c r="AB39" s="9" t="str">
        <f aca="false">IF(AND(15&gt;=$F39,15&lt;=$H39),1,"")</f>
        <v/>
      </c>
      <c r="AC39" s="9" t="str">
        <f aca="false">IF(AND(16&gt;=$F39,16&lt;=$H39),1,"")</f>
        <v/>
      </c>
      <c r="AD39" s="9" t="str">
        <f aca="false">IF(AND(17&gt;=$F39,17&lt;=$H39),1,"")</f>
        <v/>
      </c>
      <c r="AE39" s="9" t="str">
        <f aca="false">IF(AND(18&gt;=$F39,18&lt;=$H39),1,"")</f>
        <v/>
      </c>
      <c r="AF39" s="9" t="str">
        <f aca="false">IF(AND(19&gt;=$F39,19&lt;=$H39),1,"")</f>
        <v/>
      </c>
      <c r="AG39" s="9" t="str">
        <f aca="false">IF(AND(20&gt;=$F39,20&lt;=$H39),1,"")</f>
        <v/>
      </c>
      <c r="AH39" s="9" t="str">
        <f aca="false">IF(AND(21&gt;=$F39,21&lt;=$H39),1,"")</f>
        <v/>
      </c>
      <c r="AI39" s="9" t="str">
        <f aca="false">IF(AND(22&gt;=$F39,22&lt;=$H39),1,"")</f>
        <v/>
      </c>
      <c r="AJ39" s="9" t="str">
        <f aca="false">IF(AND(23&gt;=$F39,23&lt;=$H39),1,"")</f>
        <v/>
      </c>
      <c r="AK39" s="9" t="str">
        <f aca="false">IF(AND(24&gt;=$F39,24&lt;=$H39),1,"")</f>
        <v/>
      </c>
      <c r="AL39" s="9" t="str">
        <f aca="false">IF(AND(25&gt;=$F39,25&lt;=$H39),1,"")</f>
        <v/>
      </c>
      <c r="AM39" s="9" t="n">
        <f aca="false">IF(AND(26&gt;=$F39,26&lt;=$H39),1,"")</f>
        <v>1</v>
      </c>
    </row>
    <row r="41" customFormat="false" ht="15" hidden="false" customHeight="false" outlineLevel="0" collapsed="false">
      <c r="H41" s="11" t="s">
        <v>208</v>
      </c>
      <c r="I41" s="12" t="n">
        <f aca="false">SUM(I5:I39)</f>
        <v>25100</v>
      </c>
    </row>
  </sheetData>
  <conditionalFormatting sqref="N5:AM39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209</v>
      </c>
    </row>
    <row r="4" customFormat="false" ht="41.75" hidden="false" customHeight="false" outlineLevel="0" collapsed="false">
      <c r="A4" s="3" t="s">
        <v>210</v>
      </c>
      <c r="B4" s="3" t="s">
        <v>211</v>
      </c>
      <c r="C4" s="3" t="s">
        <v>212</v>
      </c>
      <c r="D4" s="3" t="s">
        <v>213</v>
      </c>
      <c r="E4" s="3" t="s">
        <v>214</v>
      </c>
      <c r="F4" s="3" t="s">
        <v>215</v>
      </c>
    </row>
    <row r="5" customFormat="false" ht="15" hidden="false" customHeight="false" outlineLevel="0" collapsed="false">
      <c r="A5" s="11" t="s">
        <v>216</v>
      </c>
      <c r="B5" s="13" t="n">
        <v>4</v>
      </c>
      <c r="C5" s="14" t="n">
        <f aca="false">COUNTIF('Plan 180 días'!$H$5:$H$39,"&lt;="&amp;B5)</f>
        <v>7</v>
      </c>
      <c r="D5" s="14" t="n">
        <f aca="false">COUNTIFS('Plan 180 días'!$H$5:$H$39,"&lt;="&amp;B5,'Plan 180 días'!$M$5:$M$39,"Ejecutable*")</f>
        <v>7</v>
      </c>
      <c r="E5" s="14" t="n">
        <f aca="false">COUNTIFS('Plan 180 días'!$H$5:$H$39,"&lt;="&amp;B5,'Plan 180 días'!$M$5:$M$39,"Bloq*")</f>
        <v>0</v>
      </c>
      <c r="F5" s="12" t="n">
        <f aca="false">SUMIF('Plan 180 días'!$H$5:$H$39,"&lt;="&amp;B5,'Plan 180 días'!$I$5:$I$39)</f>
        <v>2000</v>
      </c>
    </row>
    <row r="6" customFormat="false" ht="15" hidden="false" customHeight="false" outlineLevel="0" collapsed="false">
      <c r="A6" s="11" t="s">
        <v>217</v>
      </c>
      <c r="B6" s="13" t="n">
        <v>9</v>
      </c>
      <c r="C6" s="14" t="n">
        <f aca="false">COUNTIF('Plan 180 días'!$H$5:$H$39,"&lt;="&amp;B6)</f>
        <v>15</v>
      </c>
      <c r="D6" s="14" t="n">
        <f aca="false">COUNTIFS('Plan 180 días'!$H$5:$H$39,"&lt;="&amp;B6,'Plan 180 días'!$M$5:$M$39,"Ejecutable*")</f>
        <v>12</v>
      </c>
      <c r="E6" s="14" t="n">
        <f aca="false">COUNTIFS('Plan 180 días'!$H$5:$H$39,"&lt;="&amp;B6,'Plan 180 días'!$M$5:$M$39,"Bloq*")</f>
        <v>3</v>
      </c>
      <c r="F6" s="12" t="n">
        <f aca="false">SUMIF('Plan 180 días'!$H$5:$H$39,"&lt;="&amp;B6,'Plan 180 días'!$I$5:$I$39)</f>
        <v>10000</v>
      </c>
    </row>
    <row r="7" customFormat="false" ht="15" hidden="false" customHeight="false" outlineLevel="0" collapsed="false">
      <c r="A7" s="11" t="s">
        <v>218</v>
      </c>
      <c r="B7" s="13" t="n">
        <v>13</v>
      </c>
      <c r="C7" s="14" t="n">
        <f aca="false">COUNTIF('Plan 180 días'!$H$5:$H$39,"&lt;="&amp;B7)</f>
        <v>20</v>
      </c>
      <c r="D7" s="14" t="n">
        <f aca="false">COUNTIFS('Plan 180 días'!$H$5:$H$39,"&lt;="&amp;B7,'Plan 180 días'!$M$5:$M$39,"Ejecutable*")</f>
        <v>14</v>
      </c>
      <c r="E7" s="14" t="n">
        <f aca="false">COUNTIFS('Plan 180 días'!$H$5:$H$39,"&lt;="&amp;B7,'Plan 180 días'!$M$5:$M$39,"Bloq*")</f>
        <v>6</v>
      </c>
      <c r="F7" s="12" t="n">
        <f aca="false">SUMIF('Plan 180 días'!$H$5:$H$39,"&lt;="&amp;B7,'Plan 180 días'!$I$5:$I$39)</f>
        <v>12100</v>
      </c>
    </row>
    <row r="8" customFormat="false" ht="15" hidden="false" customHeight="false" outlineLevel="0" collapsed="false">
      <c r="A8" s="11" t="s">
        <v>219</v>
      </c>
      <c r="B8" s="13" t="n">
        <v>26</v>
      </c>
      <c r="C8" s="14" t="n">
        <f aca="false">COUNTIF('Plan 180 días'!$H$5:$H$39,"&lt;="&amp;B8)</f>
        <v>35</v>
      </c>
      <c r="D8" s="14" t="n">
        <f aca="false">COUNTIFS('Plan 180 días'!$H$5:$H$39,"&lt;="&amp;B8,'Plan 180 días'!$M$5:$M$39,"Ejecutable*")</f>
        <v>14</v>
      </c>
      <c r="E8" s="14" t="n">
        <f aca="false">COUNTIFS('Plan 180 días'!$H$5:$H$39,"&lt;="&amp;B8,'Plan 180 días'!$M$5:$M$39,"Bloq*")</f>
        <v>21</v>
      </c>
      <c r="F8" s="12" t="n">
        <f aca="false">SUMIF('Plan 180 días'!$H$5:$H$39,"&lt;="&amp;B8,'Plan 180 días'!$I$5:$I$39)</f>
        <v>25100</v>
      </c>
    </row>
    <row r="11" customFormat="false" ht="15" hidden="false" customHeight="false" outlineLevel="0" collapsed="false">
      <c r="A11" s="15" t="s">
        <v>220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3" t="s">
        <v>210</v>
      </c>
      <c r="B12" s="3" t="s">
        <v>221</v>
      </c>
    </row>
    <row r="13" customFormat="false" ht="23.85" hidden="false" customHeight="false" outlineLevel="0" collapsed="false">
      <c r="A13" s="17" t="s">
        <v>222</v>
      </c>
      <c r="B13" s="17" t="s">
        <v>223</v>
      </c>
    </row>
    <row r="14" customFormat="false" ht="15" hidden="false" customHeight="false" outlineLevel="0" collapsed="false">
      <c r="A14" s="17" t="s">
        <v>224</v>
      </c>
      <c r="B14" s="17" t="s">
        <v>225</v>
      </c>
    </row>
    <row r="15" customFormat="false" ht="15" hidden="false" customHeight="false" outlineLevel="0" collapsed="false">
      <c r="A15" s="17" t="s">
        <v>226</v>
      </c>
      <c r="B15" s="17" t="s">
        <v>227</v>
      </c>
    </row>
    <row r="16" customFormat="false" ht="23.85" hidden="false" customHeight="false" outlineLevel="0" collapsed="false">
      <c r="A16" s="17" t="s">
        <v>228</v>
      </c>
      <c r="B16" s="17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2026-10-10T19:38:30Z</dcterms:created>
  <dc:creator>openpyxl</dc:creator>
  <dc:description/>
  <dc:language>en-US</dc:language>
  <cp:lastModifiedBy/>
  <dcterms:modified xsi:type="dcterms:W3CDTF">2026-10-10T19:38:30Z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